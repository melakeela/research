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2c5468fe734476" /></Relationships>
</file>

<file path=xl/workbook.xml><?xml version="1.0" encoding="utf-8"?>
<x:workbook xmlns:x="http://schemas.openxmlformats.org/spreadsheetml/2006/main">
  <x:sheets>
    <x:sheet xmlns:r="http://schemas.openxmlformats.org/officeDocument/2006/relationships" name="Page Audit" sheetId="1" r:id="R34f94c8159cd4eb5"/>
    <x:sheet xmlns:r="http://schemas.openxmlformats.org/officeDocument/2006/relationships" name="Summary" sheetId="2" r:id="R6ba3428986b04ebd"/>
    <x:sheet xmlns:r="http://schemas.openxmlformats.org/officeDocument/2006/relationships" name="Claim Risk" sheetId="3" r:id="R4603b681a69441d1"/>
    <x:sheet xmlns:r="http://schemas.openxmlformats.org/officeDocument/2006/relationships" name="Overlap &amp; Tensions" sheetId="4" r:id="R89a6baed611f40f6"/>
    <x:sheet xmlns:r="http://schemas.openxmlformats.org/officeDocument/2006/relationships" name="Asset Register" sheetId="5" r:id="R7b561143250a43bf"/>
    <x:sheet xmlns:r="http://schemas.openxmlformats.org/officeDocument/2006/relationships" name="MVP" sheetId="6" r:id="Rea39b24dcdcb4583"/>
    <x:sheet xmlns:r="http://schemas.openxmlformats.org/officeDocument/2006/relationships" name="Environment Map" sheetId="7" r:id="Rdb1efaa4cf054aa3"/>
    <x:sheet xmlns:r="http://schemas.openxmlformats.org/officeDocument/2006/relationships" name="Method &amp; Limits" sheetId="8" r:id="R1a88e6cedf2b43c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7">
    <x:font>
      <x:sz val="11"/>
      <x:name val="Carlito"/>
    </x:font>
    <x:font>
      <x:b/>
      <x:sz val="18"/>
      <x:color rgb="FFF1EEE4"/>
      <x:name val="Carlito"/>
    </x:font>
    <x:font>
      <x:sz val="10"/>
      <x:color rgb="FF182126"/>
      <x:name val="Carlito"/>
    </x:font>
    <x:font>
      <x:b/>
      <x:sz val="11"/>
      <x:color rgb="FFFFFFFF"/>
      <x:name val="Carlito"/>
    </x:font>
    <x:font>
      <x:b/>
      <x:sz val="11"/>
      <x:color rgb="FF182126"/>
      <x:name val="Carlito"/>
    </x:font>
    <x:font>
      <x:b/>
      <x:sz val="14"/>
      <x:color rgb="FF182126"/>
      <x:name val="Carlito"/>
    </x:font>
    <x:font>
      <x:sz val="11"/>
      <x:color rgb="FF182126"/>
      <x:name val="Carlito"/>
    </x:font>
  </x:fonts>
  <x:fills count="7">
    <x:fill>
      <x:patternFill patternType="none"/>
    </x:fill>
    <x:fill>
      <x:patternFill patternType="gray125"/>
    </x:fill>
    <x:fill>
      <x:patternFill patternType="solid">
        <x:fgColor rgb="FF070B12"/>
      </x:patternFill>
    </x:fill>
    <x:fill>
      <x:patternFill patternType="solid">
        <x:fgColor rgb="FFF1EEE4"/>
      </x:patternFill>
    </x:fill>
    <x:fill>
      <x:patternFill patternType="solid">
        <x:fgColor rgb="FF10172A"/>
      </x:patternFill>
    </x:fill>
    <x:fill>
      <x:patternFill patternType="solid">
        <x:fgColor rgb="FFE6E0D4"/>
      </x:patternFill>
    </x:fill>
    <x:fill>
      <x:patternFill patternType="solid">
        <x:fgColor rgb="FFF7F4ED"/>
      </x:patternFill>
    </x:fill>
  </x:fills>
  <x:borders count="4">
    <x:border/>
    <x:border>
      <x:bottom style="thin">
        <x:color rgb="FFD8D3C9"/>
      </x:bottom>
    </x:border>
    <x:border>
      <x:top style="thin">
        <x:color rgb="FFD8D3C9"/>
      </x:top>
      <x:bottom style="thin">
        <x:color rgb="FFD8D3C9"/>
      </x:bottom>
    </x:border>
    <x:border>
      <x:top style="thin">
        <x:color rgb="FFD8D3C9"/>
      </x:top>
      <x:bottom style="thin">
        <x:color rgb="FFB8B2A8"/>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1" fontId="2" fillId="0" borderId="2" xfId="0" applyNumberFormat="1" applyFont="1" applyFill="1" applyBorder="1" applyAlignment="1">
      <x:alignment vertical="top" wrapText="1"/>
    </x:xf>
    <x:xf numFmtId="201" fontId="2" fillId="0" borderId="3" xfId="0" applyNumberFormat="1" applyFont="1" applyFill="1" applyBorder="1" applyAlignment="1">
      <x:alignment vertical="top" wrapText="1"/>
    </x:xf>
    <x:xf numFmtId="202" fontId="2" fillId="0" borderId="2" xfId="0" applyNumberFormat="1" applyFont="1" applyFill="1" applyBorder="1" applyAlignment="1">
      <x:alignment vertical="top" wrapText="1"/>
    </x:xf>
    <x:xf numFmtId="202" fontId="2" fillId="0" borderId="3" xfId="0" applyNumberFormat="1" applyFont="1" applyFill="1" applyBorder="1" applyAlignment="1">
      <x:alignment vertical="top" wrapText="1"/>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4"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6" borderId="0" xfId="0" applyNumberFormat="1" applyFont="1" applyFill="1" applyBorder="1" applyAlignment="1">
      <x:alignment vertical="top"/>
    </x:xf>
  </x:cellXfs>
  <x:cellStyles count="1">
    <x:cellStyle name="Normal" xfId="0"/>
  </x:cellStyles>
  <x:dxfs count="5">
    <x:dxf>
      <x:font>
        <x:b/>
        <x:color rgb="FFA84A32"/>
      </x:font>
      <x:fill>
        <x:patternFill patternType="solid">
          <x:bgColor rgb="FFF3D7D0"/>
        </x:patternFill>
      </x:fill>
    </x:dxf>
    <x:dxf>
      <x:font>
        <x:color rgb="FF40562E"/>
      </x:font>
      <x:fill>
        <x:patternFill patternType="solid">
          <x:bgColor rgb="FFE1EAD0"/>
        </x:patternFill>
      </x:fill>
    </x:dxf>
    <x:dxf>
      <x:font>
        <x:color rgb="FF6E5120"/>
      </x:font>
      <x:fill>
        <x:patternFill patternType="solid">
          <x:bgColor rgb="FFF4E5C5"/>
        </x:patternFill>
      </x:fill>
    </x:dxf>
    <x:dxf>
      <x:font>
        <x:b/>
        <x:color rgb="FFA84A32"/>
      </x:font>
      <x:fill>
        <x:patternFill patternType="solid">
          <x:bgColor rgb="FFE9C4BA"/>
        </x:patternFill>
      </x:fill>
    </x:dxf>
    <x:dxf>
      <x:font>
        <x:b/>
        <x:color rgb="FF6E5120"/>
      </x:font>
      <x:fill>
        <x:patternFill patternType="solid">
          <x:bgColor rgb="FFF4E5C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1f99fe6f1648ae" /><Relationship Type="http://schemas.openxmlformats.org/officeDocument/2006/relationships/theme" Target="/xl/theme/theme1.xml" Id="R889cc661c7084639" /><Relationship Type="http://schemas.openxmlformats.org/officeDocument/2006/relationships/sharedStrings" Target="/xl/sharedStrings.xml" Id="Ree10d125458b4cea" /><Relationship Type="http://schemas.openxmlformats.org/officeDocument/2006/relationships/worksheet" Target="/xl/worksheets/sheet1.xml" Id="R34f94c8159cd4eb5" /><Relationship Type="http://schemas.openxmlformats.org/officeDocument/2006/relationships/worksheet" Target="/xl/worksheets/sheet2.xml" Id="R6ba3428986b04ebd" /><Relationship Type="http://schemas.openxmlformats.org/officeDocument/2006/relationships/worksheet" Target="/xl/worksheets/sheet3.xml" Id="R4603b681a69441d1" /><Relationship Type="http://schemas.openxmlformats.org/officeDocument/2006/relationships/worksheet" Target="/xl/worksheets/sheet4.xml" Id="R89a6baed611f40f6" /><Relationship Type="http://schemas.openxmlformats.org/officeDocument/2006/relationships/worksheet" Target="/xl/worksheets/sheet5.xml" Id="R7b561143250a43bf" /><Relationship Type="http://schemas.openxmlformats.org/officeDocument/2006/relationships/worksheet" Target="/xl/worksheets/sheet6.xml" Id="Rea39b24dcdcb4583" /><Relationship Type="http://schemas.openxmlformats.org/officeDocument/2006/relationships/worksheet" Target="/xl/worksheets/sheet7.xml" Id="Rdb1efaa4cf054aa3" /><Relationship Type="http://schemas.openxmlformats.org/officeDocument/2006/relationships/worksheet" Target="/xl/worksheets/sheet8.xml" Id="R1a88e6cedf2b43c4" /></Relationships>
</file>

<file path=xl/tables/table1.xml><?xml version="1.0" encoding="utf-8"?>
<x:table xmlns:x="http://schemas.openxmlformats.org/spreadsheetml/2006/main" id="1" name="PageAudit" displayName="PageAudit" ref="A4:O100" headerRowCount="1" totalsRowCount="0" totalsRowShown="0">
  <x:tableColumns count="15">
    <x:tableColumn id="1" name="Slug"/>
    <x:tableColumn id="2" name="Title"/>
    <x:tableColumn id="3" name="H1 / central finding"/>
    <x:tableColumn id="4" name="Words"/>
    <x:tableColumn id="5" name="Type"/>
    <x:tableColumn id="6" name="Primary environment"/>
    <x:tableColumn id="7" name="Secondary environment"/>
    <x:tableColumn id="8" name="Written assessment"/>
    <x:tableColumn id="9" name="Source entries (est.)"/>
    <x:tableColumn id="10" name="External links"/>
    <x:tableColumn id="11" name="Decision"/>
    <x:tableColumn id="12" name="Risk"/>
    <x:tableColumn id="13" name="Required action"/>
    <x:tableColumn id="14" name="MVP"/>
    <x:tableColumn id="15" name="Inbound links"/>
  </x:tableColumns>
  <x:tableStyleInfo name="TableStyleMedium2" showFirstColumn="0" showLastColumn="0" showRowStripes="1" showColumnStripes="0"/>
</x:table>
</file>

<file path=xl/tables/table2.xml><?xml version="1.0" encoding="utf-8"?>
<x:table xmlns:x="http://schemas.openxmlformats.org/spreadsheetml/2006/main" id="2" name="ClaimRisk" displayName="ClaimRisk" ref="A4:H42" headerRowCount="1" totalsRowCount="0" totalsRowShown="0">
  <x:tableColumns count="8">
    <x:tableColumn id="1" name="Slug"/>
    <x:tableColumn id="2" name="Central claim"/>
    <x:tableColumn id="3" name="Risk"/>
    <x:tableColumn id="4" name="Risk type(s)"/>
    <x:tableColumn id="5" name="Source state"/>
    <x:tableColumn id="6" name="Verification required"/>
    <x:tableColumn id="7" name="Publication gate"/>
    <x:tableColumn id="8" name="Owner/status"/>
  </x:tableColumns>
  <x:tableStyleInfo name="TableStyleMedium2" showFirstColumn="0" showLastColumn="0" showRowStripes="1" showColumnStripes="0"/>
</x:table>
</file>

<file path=xl/tables/table3.xml><?xml version="1.0" encoding="utf-8"?>
<x:table xmlns:x="http://schemas.openxmlformats.org/spreadsheetml/2006/main" id="3" name="ConsistencyClusters" displayName="ConsistencyClusters" ref="A4:E13" headerRowCount="1" totalsRowCount="0" totalsRowShown="0">
  <x:tableColumns count="5">
    <x:tableColumn id="1" name="Cluster"/>
    <x:tableColumn id="2" name="Pages"/>
    <x:tableColumn id="3" name="Consistency / contradiction risk"/>
    <x:tableColumn id="4" name="Recommendation"/>
    <x:tableColumn id="5" name="Status"/>
  </x:tableColumns>
  <x:tableStyleInfo name="TableStyleMedium2" showFirstColumn="0" showLastColumn="0" showRowStripes="1" showColumnStripes="0"/>
</x:table>
</file>

<file path=xl/tables/table4.xml><?xml version="1.0" encoding="utf-8"?>
<x:table xmlns:x="http://schemas.openxmlformats.org/spreadsheetml/2006/main" id="4" name="DuplicatePairs" displayName="DuplicatePairs" ref="A17:E40" headerRowCount="1" totalsRowCount="0" totalsRowShown="0">
  <x:tableColumns count="5">
    <x:tableColumn id="1" name="Page A"/>
    <x:tableColumn id="2" name="Page B"/>
    <x:tableColumn id="3" name="Text similarity"/>
    <x:tableColumn id="4" name="Review action"/>
    <x:tableColumn id="5" name="Status"/>
  </x:tableColumns>
  <x:tableStyleInfo name="TableStyleMedium2" showFirstColumn="0" showLastColumn="0" showRowStripes="1" showColumnStripes="0"/>
</x:table>
</file>

<file path=xl/tables/table5.xml><?xml version="1.0" encoding="utf-8"?>
<x:table xmlns:x="http://schemas.openxmlformats.org/spreadsheetml/2006/main" id="5" name="AssetRegister" displayName="AssetRegister" ref="A4:G100" headerRowCount="1" totalsRowCount="0" totalsRowShown="0">
  <x:tableColumns count="7">
    <x:tableColumn id="1" name="Slug"/>
    <x:tableColumn id="2" name="Environment"/>
    <x:tableColumn id="3" name="Required asset set"/>
    <x:tableColumn id="4" name="Documentary standard"/>
    <x:tableColumn id="5" name="Priority"/>
    <x:tableColumn id="6" name="Source / commission route"/>
    <x:tableColumn id="7" name="Status"/>
  </x:tableColumns>
  <x:tableStyleInfo name="TableStyleMedium2" showFirstColumn="0" showLastColumn="0" showRowStripes="1" showColumnStripes="0"/>
</x:table>
</file>

<file path=xl/tables/table6.xml><?xml version="1.0" encoding="utf-8"?>
<x:table xmlns:x="http://schemas.openxmlformats.org/spreadsheetml/2006/main" id="6" name="MVPTable" displayName="MVPTable" ref="A4:H19" headerRowCount="1" totalsRowCount="0" totalsRowShown="0">
  <x:tableColumns count="8">
    <x:tableColumn id="1" name="Rank"/>
    <x:tableColumn id="2" name="Slug"/>
    <x:tableColumn id="3" name="Title"/>
    <x:tableColumn id="4" name="Environment"/>
    <x:tableColumn id="5" name="Decision"/>
    <x:tableColumn id="6" name="Risk"/>
    <x:tableColumn id="7" name="Release dependency"/>
    <x:tableColumn id="8" name="Status"/>
  </x:tableColumns>
  <x:tableStyleInfo name="TableStyleMedium2" showFirstColumn="0" showLastColumn="0" showRowStripes="1" showColumnStripes="0"/>
</x:table>
</file>

<file path=xl/tables/table7.xml><?xml version="1.0" encoding="utf-8"?>
<x:table xmlns:x="http://schemas.openxmlformats.org/spreadsheetml/2006/main" id="7" name="EnvironmentMap" displayName="EnvironmentMap" ref="A4:F11" headerRowCount="1" totalsRowCount="0" totalsRowShown="0">
  <x:tableColumns count="6">
    <x:tableColumn id="1" name="Environment"/>
    <x:tableColumn id="2" name="Function"/>
    <x:tableColumn id="3" name="Prototype/pages"/>
    <x:tableColumn id="4" name="Palette role"/>
    <x:tableColumn id="5" name="Desired effect"/>
    <x:tableColumn id="6" name="Avoid"/>
  </x:tableColumns>
  <x:tableStyleInfo name="TableStyleMedium2" showFirstColumn="0" showLastColumn="0" showRowStripes="1" showColumnStripes="0"/>
</x:table>
</file>

<file path=xl/tables/table8.xml><?xml version="1.0" encoding="utf-8"?>
<x:table xmlns:x="http://schemas.openxmlformats.org/spreadsheetml/2006/main" id="8" name="MethodTable" displayName="MethodTable" ref="A4:C11" headerRowCount="1" totalsRowCount="0" totalsRowShown="0">
  <x:tableColumns count="3">
    <x:tableColumn id="1" name="Layer"/>
    <x:tableColumn id="2" name="Method"/>
    <x:tableColumn id="3" name="Lim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9dab5668cd46b9" /></Relationships>
</file>

<file path=xl/worksheets/_rels/sheet3.xml.rels>&#65279;<?xml version="1.0" encoding="utf-8"?><Relationships xmlns="http://schemas.openxmlformats.org/package/2006/relationships"><Relationship Type="http://schemas.openxmlformats.org/officeDocument/2006/relationships/table" Target="/xl/tables/table2.xml" Id="Rd7dfcc77e2fb403a" /></Relationships>
</file>

<file path=xl/worksheets/_rels/sheet4.xml.rels>&#65279;<?xml version="1.0" encoding="utf-8"?><Relationships xmlns="http://schemas.openxmlformats.org/package/2006/relationships"><Relationship Type="http://schemas.openxmlformats.org/officeDocument/2006/relationships/table" Target="/xl/tables/table3.xml" Id="R2ff33e5b2f964adc" /><Relationship Type="http://schemas.openxmlformats.org/officeDocument/2006/relationships/table" Target="/xl/tables/table4.xml" Id="R1fef2ebbcc2f4672" /></Relationships>
</file>

<file path=xl/worksheets/_rels/sheet5.xml.rels>&#65279;<?xml version="1.0" encoding="utf-8"?><Relationships xmlns="http://schemas.openxmlformats.org/package/2006/relationships"><Relationship Type="http://schemas.openxmlformats.org/officeDocument/2006/relationships/table" Target="/xl/tables/table5.xml" Id="Rb69c5aae8f154703" /></Relationships>
</file>

<file path=xl/worksheets/_rels/sheet6.xml.rels>&#65279;<?xml version="1.0" encoding="utf-8"?><Relationships xmlns="http://schemas.openxmlformats.org/package/2006/relationships"><Relationship Type="http://schemas.openxmlformats.org/officeDocument/2006/relationships/table" Target="/xl/tables/table6.xml" Id="Reaa63cd2793648ed" /></Relationships>
</file>

<file path=xl/worksheets/_rels/sheet7.xml.rels>&#65279;<?xml version="1.0" encoding="utf-8"?><Relationships xmlns="http://schemas.openxmlformats.org/package/2006/relationships"><Relationship Type="http://schemas.openxmlformats.org/officeDocument/2006/relationships/table" Target="/xl/tables/table7.xml" Id="Rafe7476ee89742f2" /></Relationships>
</file>

<file path=xl/worksheets/_rels/sheet8.xml.rels>&#65279;<?xml version="1.0" encoding="utf-8"?><Relationships xmlns="http://schemas.openxmlformats.org/package/2006/relationships"><Relationship Type="http://schemas.openxmlformats.org/officeDocument/2006/relationships/table" Target="/xl/tables/table8.xml" Id="R8ed06612aa6d414d"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6" hidden="0" customWidth="1"/>
    <x:col min="3" max="3" width="44" hidden="0" customWidth="1"/>
    <x:col min="4" max="4" width="10" hidden="0" customWidth="1"/>
    <x:col min="5" max="5" width="22" hidden="0" customWidth="1"/>
    <x:col min="6" max="6" width="24" hidden="0" customWidth="1"/>
    <x:col min="7" max="7" width="20" hidden="0" customWidth="1"/>
    <x:col min="8" max="8" width="70" hidden="0" customWidth="1"/>
    <x:col min="9" max="9" width="12" hidden="0" customWidth="1"/>
    <x:col min="10" max="10" width="10" hidden="0" customWidth="1"/>
    <x:col min="11" max="11" width="12" hidden="0" customWidth="1"/>
    <x:col min="12" max="12" width="12" hidden="0" customWidth="1"/>
    <x:col min="13" max="13" width="54" hidden="0" customWidth="1"/>
    <x:col min="14" max="14" width="8" hidden="0" customWidth="1"/>
    <x:col min="15" max="15" width="10" hidden="0" customWidth="1"/>
  </x:cols>
  <x:sheetData>
    <x:row r="1" ht="28" customHeight="1">
      <x:c r="A1" s="34" t="str">
        <x:v>96-page curatorial audit</x:v>
      </x:c>
      <x:c r="B1" s="34"/>
      <x:c r="C1" s="34"/>
      <x:c r="D1" s="34"/>
      <x:c r="E1" s="34"/>
      <x:c r="F1" s="34"/>
      <x:c r="G1" s="34"/>
      <x:c r="H1" s="34"/>
      <x:c r="I1" s="34"/>
      <x:c r="J1" s="34"/>
      <x:c r="K1" s="34"/>
      <x:c r="L1" s="34"/>
      <x:c r="M1" s="34"/>
      <x:c r="N1" s="34"/>
      <x:c r="O1" s="34"/>
    </x:row>
    <x:row r="2" ht="34" customHeight="1">
      <x:c r="A2" s="35" t="str">
        <x:v>Each row contains a written assessment, publication decision, design assignment and required next action.</x:v>
      </x:c>
      <x:c r="B2" s="35"/>
      <x:c r="C2" s="35"/>
      <x:c r="D2" s="35"/>
      <x:c r="E2" s="35"/>
      <x:c r="F2" s="35"/>
      <x:c r="G2" s="35"/>
      <x:c r="H2" s="35"/>
      <x:c r="I2" s="35"/>
      <x:c r="J2" s="35"/>
      <x:c r="K2" s="35"/>
      <x:c r="L2" s="35"/>
      <x:c r="M2" s="35"/>
      <x:c r="N2" s="35"/>
      <x:c r="O2" s="35"/>
    </x:row>
    <x:row r="3">
      <x:c r="A3" s="36"/>
      <x:c r="B3" s="36"/>
      <x:c r="C3" s="36"/>
      <x:c r="D3" s="36"/>
      <x:c r="E3" s="36"/>
      <x:c r="F3" s="36"/>
      <x:c r="G3" s="36"/>
      <x:c r="H3" s="36"/>
      <x:c r="I3" s="36"/>
      <x:c r="J3" s="36"/>
      <x:c r="K3" s="36"/>
      <x:c r="L3" s="36"/>
      <x:c r="M3" s="36"/>
      <x:c r="N3" s="36"/>
      <x:c r="O3" s="36"/>
    </x:row>
    <x:row r="4">
      <x:c r="A4" s="37" t="str">
        <x:v>Slug</x:v>
      </x:c>
      <x:c r="B4" s="37" t="str">
        <x:v>Title</x:v>
      </x:c>
      <x:c r="C4" s="37" t="str">
        <x:v>H1 / central finding</x:v>
      </x:c>
      <x:c r="D4" s="37" t="str">
        <x:v>Words</x:v>
      </x:c>
      <x:c r="E4" s="37" t="str">
        <x:v>Type</x:v>
      </x:c>
      <x:c r="F4" s="37" t="str">
        <x:v>Primary environment</x:v>
      </x:c>
      <x:c r="G4" s="37" t="str">
        <x:v>Secondary environment</x:v>
      </x:c>
      <x:c r="H4" s="37" t="str">
        <x:v>Written assessment</x:v>
      </x:c>
      <x:c r="I4" s="37" t="str">
        <x:v>Source entries (est.)</x:v>
      </x:c>
      <x:c r="J4" s="37" t="str">
        <x:v>External links</x:v>
      </x:c>
      <x:c r="K4" s="37" t="str">
        <x:v>Decision</x:v>
      </x:c>
      <x:c r="L4" s="37" t="str">
        <x:v>Risk</x:v>
      </x:c>
      <x:c r="M4" s="37" t="str">
        <x:v>Required action</x:v>
      </x:c>
      <x:c r="N4" s="37" t="str">
        <x:v>MVP</x:v>
      </x:c>
      <x:c r="O4" s="37" t="str">
        <x:v>Inbound links</x:v>
      </x:c>
    </x:row>
    <x:row r="5" ht="68" customHeight="1">
      <x:c r="A5" s="26" t="str">
        <x:v>academia-battlefield</x:v>
      </x:c>
      <x:c r="B5" s="26" t="str">
        <x:v>Ancient DNA and Nationalism: Why Ancestry Is Fought Over</x:v>
      </x:c>
      <x:c r="C5" s="26" t="str">
        <x:v>The science of ancestry is a battlefield. Read it accordingly.</x:v>
      </x:c>
      <x:c r="D5" s="28" t="n">
        <x:v>1224</x:v>
      </x:c>
      <x:c r="E5" s="26" t="str">
        <x:v>institutional-critique</x:v>
      </x:c>
      <x:c r="F5" s="26" t="str">
        <x:v>Extraction / Collection</x:v>
      </x:c>
      <x:c r="G5" s="26" t="str">
        <x:v>Reading Room</x:v>
      </x:c>
      <x:c r="H5" s="26" t="str">
        <x:v>Potentially important critical interpretation; needs especially transparent sourcing and right-of-reply discipline. Its central public claim is “The science of ancestry is a battlefield. Read it accordingly.” The page has 14 estimated source entries, 0 external links, 1 tables and 0 inline SVGs; source state: substantial bibliography, mostly non-linked</x:v>
      </x:c>
      <x:c r="I5" s="28" t="n">
        <x:v>14</x:v>
      </x:c>
      <x:c r="J5" s="28" t="n">
        <x:v>0</x:v>
      </x:c>
      <x:c r="K5" s="26" t="str">
        <x:v>Hold</x:v>
      </x:c>
      <x:c r="L5" s="26" t="str">
        <x:v>Critical</x:v>
      </x:c>
      <x:c r="M5" s="26" t="str">
        <x:v>Withhold from MVP until load-bearing claims receive claim-level citations and specialist/editorial review.</x:v>
      </x:c>
      <x:c r="N5" s="26" t="str">
        <x:v>No</x:v>
      </x:c>
      <x:c r="O5" s="28" t="n">
        <x:v>6</x:v>
      </x:c>
    </x:row>
    <x:row r="6" ht="68" customHeight="1">
      <x:c r="A6" s="26" t="str">
        <x:v>artifact-atlas</x:v>
      </x:c>
      <x:c r="B6" s="26" t="str">
        <x:v>Artifact Atlas: 175 Ancient South Asian Sites Mapped</x:v>
      </x:c>
      <x:c r="C6" s="26" t="str">
        <x:v>Where the objects were found</x:v>
      </x:c>
      <x:c r="D6" s="28" t="n">
        <x:v>8</x:v>
      </x:c>
      <x:c r="E6" s="26" t="str">
        <x:v>atlas</x:v>
      </x:c>
      <x:c r="F6" s="26" t="str">
        <x:v>Living Signal Field</x:v>
      </x:c>
      <x:c r="G6" s="26" t="str">
        <x:v>Reading Room</x:v>
      </x:c>
      <x:c r="H6" s="26" t="str">
        <x:v>Can become the platform’s connective heart if its data, filters, and accessibility are independently tested. Its central public claim is “Where the objects were found” The page has 88 estimated source entries, 0 external links, 0 tables and 2 inline SVGs; source state: substantial bibliography, mostly non-linked</x:v>
      </x:c>
      <x:c r="I6" s="28" t="n">
        <x:v>88</x:v>
      </x:c>
      <x:c r="J6" s="28" t="n">
        <x:v>0</x:v>
      </x:c>
      <x:c r="K6" s="26" t="str">
        <x:v>Keep</x:v>
      </x:c>
      <x:c r="L6" s="26" t="str">
        <x:v>Low</x:v>
      </x:c>
      <x:c r="M6" s="26" t="str">
        <x:v>Preserve the core argument; complete citation, image-rights, accessibility, and copy review before publication.</x:v>
      </x:c>
      <x:c r="N6" s="26" t="str">
        <x:v>Yes</x:v>
      </x:c>
      <x:c r="O6" s="28" t="n">
        <x:v>56</x:v>
      </x:c>
    </x:row>
    <x:row r="7" ht="68" customHeight="1">
      <x:c r="A7" s="26" t="str">
        <x:v>attribution</x:v>
      </x:c>
      <x:c r="B7" s="26" t="str">
        <x:v>Who Gets Credit: Attribution in Ancient Indian Texts</x:v>
      </x:c>
      <x:c r="C7" s="26" t="str">
        <x:v>Credit attaches to whoever wrote it down — and to the last one who did, over the first.</x:v>
      </x:c>
      <x:c r="D7" s="28" t="n">
        <x:v>1334</x:v>
      </x:c>
      <x:c r="E7" s="26" t="str">
        <x:v>methods</x:v>
      </x:c>
      <x:c r="F7" s="26" t="str">
        <x:v>Reading Room</x:v>
      </x:c>
      <x:c r="G7" s="26" t="str">
        <x:v>Reading Room</x:v>
      </x:c>
      <x:c r="H7" s="26" t="str">
        <x:v>Belongs in the public evidence architecture and should disclose scope, selection, and limitations. Its central public claim is “Credit attaches to whoever wrote it down — and to the last one who did, over the first.” The page has 2 estimated source entries, 0 external links, 2 tables and 1 inline SVGs; source state: minimal source section</x:v>
      </x:c>
      <x:c r="I7" s="28" t="n">
        <x:v>2</x:v>
      </x:c>
      <x:c r="J7" s="28" t="n">
        <x:v>0</x:v>
      </x:c>
      <x:c r="K7" s="26" t="str">
        <x:v>Revise</x:v>
      </x:c>
      <x:c r="L7" s="26" t="str">
        <x:v>High</x:v>
      </x:c>
      <x:c r="M7" s="26" t="str">
        <x:v>Add claim-level citations, qualify scope and chronology, expose competing interpretations, and reduce unsupported certainty.</x:v>
      </x:c>
      <x:c r="N7" s="26" t="str">
        <x:v>No</x:v>
      </x:c>
      <x:c r="O7" s="28" t="n">
        <x:v>1</x:v>
      </x:c>
    </x:row>
    <x:row r="8" ht="68" customHeight="1">
      <x:c r="A8" s="26" t="str">
        <x:v>before-the-indus</x:v>
      </x:c>
      <x:c r="B8" s="26" t="str">
        <x:v>Before the Indus: Baghor Shrine and Mesolithic Sun Graves</x:v>
      </x:c>
      <x:c r="C8" s="26" t="str">
        <x:v>Before the Indus, the graves already faced the sun.</x:v>
      </x:c>
      <x:c r="D8" s="28" t="n">
        <x:v>1724</x:v>
      </x:c>
      <x:c r="E8" s="26" t="str">
        <x:v>deep-time</x:v>
      </x:c>
      <x:c r="F8" s="26" t="str">
        <x:v>Nocturnal Veḷi</x:v>
      </x:c>
      <x:c r="G8" s="26" t="str">
        <x:v>Reading Room</x:v>
      </x:c>
      <x:c r="H8" s="26" t="str">
        <x:v>Strong threshold/exhibit material; reconstructions and continuity claims require exceptional restraint. Its central public claim is “Before the Indus, the graves already faced the sun.” The page has 17 estimated source entries, 0 external links, 1 tables and 0 inline SVGs; source state: substantial bibliography, mostly non-linked</x:v>
      </x:c>
      <x:c r="I8" s="28" t="n">
        <x:v>17</x:v>
      </x:c>
      <x:c r="J8" s="28" t="n">
        <x:v>0</x:v>
      </x:c>
      <x:c r="K8" s="26" t="str">
        <x:v>Hold</x:v>
      </x:c>
      <x:c r="L8" s="26" t="str">
        <x:v>Critical</x:v>
      </x:c>
      <x:c r="M8" s="26" t="str">
        <x:v>Withhold from MVP until load-bearing claims receive claim-level citations and specialist/editorial review.</x:v>
      </x:c>
      <x:c r="N8" s="26" t="str">
        <x:v>Yes</x:v>
      </x:c>
      <x:c r="O8" s="28" t="n">
        <x:v>9</x:v>
      </x:c>
    </x:row>
    <x:row r="9" ht="68" customHeight="1">
      <x:c r="A9" s="26" t="str">
        <x:v>birth-was-not-always-destiny</x:v>
      </x:c>
      <x:c r="B9" s="26" t="str">
        <x:v>Caste by Birth Was Imposed Later, Not Original</x:v>
      </x:c>
      <x:c r="C9" s="26" t="str">
        <x:v>Caste was not always by birth. The rigidity was imposed — against a reality that kept breaking it.</x:v>
      </x:c>
      <x:c r="D9" s="28" t="n">
        <x:v>1086</x:v>
      </x:c>
      <x:c r="E9" s="26" t="str">
        <x:v>social-history</x:v>
      </x:c>
      <x:c r="F9" s="26" t="str">
        <x:v>Tamil Retrofuture</x:v>
      </x:c>
      <x:c r="G9" s="26" t="str">
        <x:v>Reading Room</x:v>
      </x:c>
      <x:c r="H9" s="26" t="str">
        <x:v>High public value but high reputational risk when chronology, agency, or causation is stated categorically. Its central public claim is “Caste was not always by birth. The rigidity was imposed — against a reality that kept breaking it.” The page has 13 estimated source entries, 1 external links, 1 tables and 0 inline SVGs; source state: substantial bibliography, mostly non-linked</x:v>
      </x:c>
      <x:c r="I9" s="28" t="n">
        <x:v>13</x:v>
      </x:c>
      <x:c r="J9" s="28" t="n">
        <x:v>1</x:v>
      </x:c>
      <x:c r="K9" s="26" t="str">
        <x:v>Hold</x:v>
      </x:c>
      <x:c r="L9" s="26" t="str">
        <x:v>Critical</x:v>
      </x:c>
      <x:c r="M9" s="26" t="str">
        <x:v>Withhold from MVP until load-bearing claims receive claim-level citations and specialist/editorial review.</x:v>
      </x:c>
      <x:c r="N9" s="26" t="str">
        <x:v>No</x:v>
      </x:c>
      <x:c r="O9" s="28" t="n">
        <x:v>4</x:v>
      </x:c>
    </x:row>
    <x:row r="10" ht="68" customHeight="1">
      <x:c r="A10" s="26" t="str">
        <x:v>brahmavadini</x:v>
      </x:c>
      <x:c r="B10" s="26" t="str">
        <x:v>Brahmavadini: Women Who Studied the Vedas, and the Closing</x:v>
      </x:c>
      <x:c r="C10" s="26" t="str">
        <x:v>The exclusion of women is the middle of the story, not the beginning.</x:v>
      </x:c>
      <x:c r="D10" s="28" t="n">
        <x:v>1579</x:v>
      </x:c>
      <x:c r="E10" s="26" t="str">
        <x:v>research-essay</x:v>
      </x:c>
      <x:c r="F10" s="26" t="str">
        <x:v>Reading Room</x:v>
      </x:c>
      <x:c r="G10" s="26" t="str">
        <x:v>Reading Room</x:v>
      </x:c>
      <x:c r="H10" s="26" t="str">
        <x:v>Potential Reading Room material; its readiness depends on claim-level citations, not prose confidence. Its central public claim is “The exclusion of women is the middle of the story, not the beginning.” The page has 7 estimated source entries, 0 external links, 4 tables and 0 inline SVGs; source state: limited bibliography</x:v>
      </x:c>
      <x:c r="I10" s="28" t="n">
        <x:v>7</x:v>
      </x:c>
      <x:c r="J10" s="28" t="n">
        <x:v>0</x:v>
      </x:c>
      <x:c r="K10" s="26" t="str">
        <x:v>Keep</x:v>
      </x:c>
      <x:c r="L10" s="26" t="str">
        <x:v>Low</x:v>
      </x:c>
      <x:c r="M10" s="26" t="str">
        <x:v>Preserve the core argument; complete citation, image-rights, accessibility, and copy review before publication.</x:v>
      </x:c>
      <x:c r="N10" s="26" t="str">
        <x:v>No</x:v>
      </x:c>
      <x:c r="O10" s="28" t="n">
        <x:v>1</x:v>
      </x:c>
    </x:row>
    <x:row r="11" ht="68" customHeight="1">
      <x:c r="A11" s="26" t="str">
        <x:v>brahmi</x:v>
      </x:c>
      <x:c r="B11" s="26" t="str">
        <x:v>Brahmi Script: Origins, Naming, and the Tamil Dating Fight</x:v>
      </x:c>
      <x:c r="C11" s="26" t="str">
        <x:v>The earliest surviving names for the script come from a Buddhist list and a Jain story.</x:v>
      </x:c>
      <x:c r="D11" s="28" t="n">
        <x:v>2151</x:v>
      </x:c>
      <x:c r="E11" s="26" t="str">
        <x:v>script</x:v>
      </x:c>
      <x:c r="F11" s="26" t="str">
        <x:v>Nocturnal Veḷi</x:v>
      </x:c>
      <x:c r="G11" s="26" t="str">
        <x:v>Reading Room</x:v>
      </x:c>
      <x:c r="H11" s="26" t="str">
        <x:v>Strong visual subject; must separate attestation, naming, palaeography, chronology, and origin hypotheses. Its central public claim is “The earliest surviving names for the script come from a Buddhist list and a Jain story.” The page has 4 estimated source entries, 0 external links, 4 tables and 0 inline SVGs; source state: limited bibliography</x:v>
      </x:c>
      <x:c r="I11" s="28" t="n">
        <x:v>4</x:v>
      </x:c>
      <x:c r="J11" s="28" t="n">
        <x:v>0</x:v>
      </x:c>
      <x:c r="K11" s="26" t="str">
        <x:v>Revise</x:v>
      </x:c>
      <x:c r="L11" s="26" t="str">
        <x:v>High</x:v>
      </x:c>
      <x:c r="M11" s="26" t="str">
        <x:v>Add claim-level citations, qualify scope and chronology, expose competing interpretations, and reduce unsupported certainty.</x:v>
      </x:c>
      <x:c r="N11" s="26" t="str">
        <x:v>No</x:v>
      </x:c>
      <x:c r="O11" s="28" t="n">
        <x:v>55</x:v>
      </x:c>
    </x:row>
    <x:row r="12" ht="68" customHeight="1">
      <x:c r="A12" s="26" t="str">
        <x:v>bronkhorst</x:v>
      </x:c>
      <x:c r="B12" s="26" t="str">
        <x:v>Bronkhorst and Greater Magadha: Auditing a Source We Rely On</x:v>
      </x:c>
      <x:c r="C12" s="26" t="str">
        <x:v>The scholar this platform leans on, examined the way we examine everyone else.</x:v>
      </x:c>
      <x:c r="D12" s="28" t="n">
        <x:v>2249</x:v>
      </x:c>
      <x:c r="E12" s="26" t="str">
        <x:v>research-essay</x:v>
      </x:c>
      <x:c r="F12" s="26" t="str">
        <x:v>Reading Room</x:v>
      </x:c>
      <x:c r="G12" s="26" t="str">
        <x:v>Reading Room</x:v>
      </x:c>
      <x:c r="H12" s="26" t="str">
        <x:v>Potential Reading Room material; its readiness depends on claim-level citations, not prose confidence. Its central public claim is “The scholar this platform leans on, examined the way we examine everyone else.” The page has 9 estimated source entries, 0 external links, 2 tables and 0 inline SVGs; source state: substantial bibliography, mostly non-linked</x:v>
      </x:c>
      <x:c r="I12" s="28" t="n">
        <x:v>9</x:v>
      </x:c>
      <x:c r="J12" s="28" t="n">
        <x:v>0</x:v>
      </x:c>
      <x:c r="K12" s="26" t="str">
        <x:v>Keep</x:v>
      </x:c>
      <x:c r="L12" s="26" t="str">
        <x:v>Low</x:v>
      </x:c>
      <x:c r="M12" s="26" t="str">
        <x:v>Preserve the core argument; complete citation, image-rights, accessibility, and copy review before publication.</x:v>
      </x:c>
      <x:c r="N12" s="26" t="str">
        <x:v>No</x:v>
      </x:c>
      <x:c r="O12" s="28" t="n">
        <x:v>2</x:v>
      </x:c>
    </x:row>
    <x:row r="13" ht="68" customHeight="1">
      <x:c r="A13" s="26" t="str">
        <x:v>caste-was-law</x:v>
      </x:c>
      <x:c r="B13" s="26" t="str">
        <x:v>Caste Was Law: Differential Punishment in the Dharmasastra</x:v>
      </x:c>
      <x:c r="C13" s="26" t="str">
        <x:v>Caste was abuse, encoded as law, disguised as religion.</x:v>
      </x:c>
      <x:c r="D13" s="28" t="n">
        <x:v>1906</x:v>
      </x:c>
      <x:c r="E13" s="26" t="str">
        <x:v>social-history</x:v>
      </x:c>
      <x:c r="F13" s="26" t="str">
        <x:v>Tamil Retrofuture</x:v>
      </x:c>
      <x:c r="G13" s="26" t="str">
        <x:v>Reading Room</x:v>
      </x:c>
      <x:c r="H13" s="26" t="str">
        <x:v>High public value but high reputational risk when chronology, agency, or causation is stated categorically. Its central public claim is “Caste was abuse, encoded as law, disguised as religion.” The page has 13 estimated source entries, 1 external links, 2 tables and 0 inline SVGs; source state: substantial bibliography, mostly non-linked</x:v>
      </x:c>
      <x:c r="I13" s="28" t="n">
        <x:v>13</x:v>
      </x:c>
      <x:c r="J13" s="28" t="n">
        <x:v>1</x:v>
      </x:c>
      <x:c r="K13" s="26" t="str">
        <x:v>Hold</x:v>
      </x:c>
      <x:c r="L13" s="26" t="str">
        <x:v>Critical</x:v>
      </x:c>
      <x:c r="M13" s="26" t="str">
        <x:v>Withhold from MVP until load-bearing claims receive claim-level citations and specialist/editorial review.</x:v>
      </x:c>
      <x:c r="N13" s="26" t="str">
        <x:v>No</x:v>
      </x:c>
      <x:c r="O13" s="28" t="n">
        <x:v>26</x:v>
      </x:c>
    </x:row>
    <x:row r="14" ht="68" customHeight="1">
      <x:c r="A14" s="26" t="str">
        <x:v>climbing-the-ladder</x:v>
      </x:c>
      <x:c r="B14" s="26" t="str">
        <x:v>Climbing the Ladder: Sanskritisation and Its Price</x:v>
      </x:c>
      <x:c r="C14" s="26" t="str">
        <x:v>Not everyone tried to break the ladder. Many tried to climb it.</x:v>
      </x:c>
      <x:c r="D14" s="28" t="n">
        <x:v>1525</x:v>
      </x:c>
      <x:c r="E14" s="26" t="str">
        <x:v>social-history</x:v>
      </x:c>
      <x:c r="F14" s="26" t="str">
        <x:v>Tamil Retrofuture</x:v>
      </x:c>
      <x:c r="G14" s="26" t="str">
        <x:v>Reading Room</x:v>
      </x:c>
      <x:c r="H14" s="26" t="str">
        <x:v>High public value but high reputational risk when chronology, agency, or causation is stated categorically. Its central public claim is “Not everyone tried to break the ladder. Many tried to climb it.” The page has 15 estimated source entries, 1 external links, 1 tables and 0 inline SVGs; source state: substantial bibliography, mostly non-linked</x:v>
      </x:c>
      <x:c r="I14" s="28" t="n">
        <x:v>15</x:v>
      </x:c>
      <x:c r="J14" s="28" t="n">
        <x:v>1</x:v>
      </x:c>
      <x:c r="K14" s="26" t="str">
        <x:v>Keep</x:v>
      </x:c>
      <x:c r="L14" s="26" t="str">
        <x:v>Low</x:v>
      </x:c>
      <x:c r="M14" s="26" t="str">
        <x:v>Preserve the core argument; complete citation, image-rights, accessibility, and copy review before publication.</x:v>
      </x:c>
      <x:c r="N14" s="26" t="str">
        <x:v>No</x:v>
      </x:c>
      <x:c r="O14" s="28" t="n">
        <x:v>11</x:v>
      </x:c>
    </x:row>
    <x:row r="15" ht="68" customHeight="1">
      <x:c r="A15" s="26" t="str">
        <x:v>collocations</x:v>
      </x:c>
      <x:c r="B15" s="26" t="str">
        <x:v>Word Company in the Rigveda: Gods, Enemies, Collocations</x:v>
      </x:c>
      <x:c r="C15" s="26" t="str">
        <x:v>Words keep company. The company tells you what they are.</x:v>
      </x:c>
      <x:c r="D15" s="28" t="n">
        <x:v>1360</x:v>
      </x:c>
      <x:c r="E15" s="26" t="str">
        <x:v>relational-analysis</x:v>
      </x:c>
      <x:c r="F15" s="26" t="str">
        <x:v>Living Signal Field</x:v>
      </x:c>
      <x:c r="G15" s="26" t="str">
        <x:v>Reading Room</x:v>
      </x:c>
      <x:c r="H15" s="26" t="str">
        <x:v>Well suited to interactive comparison if the underlying corpus/data and categories are exposed. Its central public claim is “Words keep company. The company tells you what they are.” The page has 0 estimated source entries, 0 external links, 7 tables and 0 inline SVGs; source state: no detected source section</x:v>
      </x:c>
      <x:c r="I15" s="28" t="n">
        <x:v>0</x:v>
      </x:c>
      <x:c r="J15" s="28" t="n">
        <x:v>0</x:v>
      </x:c>
      <x:c r="K15" s="26" t="str">
        <x:v>Revise</x:v>
      </x:c>
      <x:c r="L15" s="26" t="str">
        <x:v>Medium</x:v>
      </x:c>
      <x:c r="M15" s="26" t="str">
        <x:v>Add claim-level citations, qualify scope and chronology, expose competing interpretations, and reduce unsupported certainty.</x:v>
      </x:c>
      <x:c r="N15" s="26" t="str">
        <x:v>No</x:v>
      </x:c>
      <x:c r="O15" s="28" t="n">
        <x:v>1</x:v>
      </x:c>
    </x:row>
    <x:row r="16" ht="68" customHeight="1">
      <x:c r="A16" s="26" t="str">
        <x:v>count-it</x:v>
      </x:c>
      <x:c r="B16" s="26" t="str">
        <x:v>Counting Contempt for Outsiders in the Rigveda</x:v>
      </x:c>
      <x:c r="C16" s="26" t="str">
        <x:v>How much of the Rigveda is contempt for outsiders?</x:v>
      </x:c>
      <x:c r="D16" s="28" t="n">
        <x:v>3998</x:v>
      </x:c>
      <x:c r="E16" s="26" t="str">
        <x:v>research-essay</x:v>
      </x:c>
      <x:c r="F16" s="26" t="str">
        <x:v>Reading Room</x:v>
      </x:c>
      <x:c r="G16" s="26" t="str">
        <x:v>Reading Room</x:v>
      </x:c>
      <x:c r="H16" s="26" t="str">
        <x:v>Potential Reading Room material; its readiness depends on claim-level citations, not prose confidence. Its central public claim is “How much of the Rigveda is contempt for outsiders?” The page has 0 estimated source entries, 0 external links, 8 tables and 1 inline SVGs; source state: no detected source section</x:v>
      </x:c>
      <x:c r="I16" s="28" t="n">
        <x:v>0</x:v>
      </x:c>
      <x:c r="J16" s="28" t="n">
        <x:v>0</x:v>
      </x:c>
      <x:c r="K16" s="26" t="str">
        <x:v>Split</x:v>
      </x:c>
      <x:c r="L16" s="26" t="str">
        <x:v>Medium</x:v>
      </x:c>
      <x:c r="M16" s="26" t="str">
        <x:v>Split the argument or interactive/data layer from the long-form interpretation; preserve one canonical overview.</x:v>
      </x:c>
      <x:c r="N16" s="26" t="str">
        <x:v>No</x:v>
      </x:c>
      <x:c r="O16" s="28" t="n">
        <x:v>54</x:v>
      </x:c>
    </x:row>
    <x:row r="17" ht="68" customHeight="1">
      <x:c r="A17" s="26" t="str">
        <x:v>coverage</x:v>
      </x:c>
      <x:c r="B17" s="26" t="str">
        <x:v>Excavation Bias: Who Funds Digs and Why Keeladi Waits</x:v>
      </x:c>
      <x:c r="C17" s="26" t="str">
        <x:v>Many gaps in this record follow the money and the politics of excavation.</x:v>
      </x:c>
      <x:c r="D17" s="28" t="n">
        <x:v>1075</x:v>
      </x:c>
      <x:c r="E17" s="26" t="str">
        <x:v>methods</x:v>
      </x:c>
      <x:c r="F17" s="26" t="str">
        <x:v>Reading Room</x:v>
      </x:c>
      <x:c r="G17" s="26" t="str">
        <x:v>Reading Room</x:v>
      </x:c>
      <x:c r="H17" s="26" t="str">
        <x:v>Belongs in the public evidence architecture and should disclose scope, selection, and limitations. Its central public claim is “Many gaps in this record follow the money and the politics of excavation.” The page has 3 estimated source entries, 0 external links, 3 tables and 0 inline SVGs; source state: limited bibliography</x:v>
      </x:c>
      <x:c r="I17" s="28" t="n">
        <x:v>3</x:v>
      </x:c>
      <x:c r="J17" s="28" t="n">
        <x:v>0</x:v>
      </x:c>
      <x:c r="K17" s="26" t="str">
        <x:v>Keep</x:v>
      </x:c>
      <x:c r="L17" s="26" t="str">
        <x:v>Low</x:v>
      </x:c>
      <x:c r="M17" s="26" t="str">
        <x:v>Preserve the core argument; complete citation, image-rights, accessibility, and copy review before publication.</x:v>
      </x:c>
      <x:c r="N17" s="26" t="str">
        <x:v>No</x:v>
      </x:c>
      <x:c r="O17" s="28" t="n">
        <x:v>53</x:v>
      </x:c>
    </x:row>
    <x:row r="18" ht="68" customHeight="1">
      <x:c r="A18" s="26" t="str">
        <x:v>criminalised-today</x:v>
      </x:c>
      <x:c r="B18" s="26" t="str">
        <x:v>Vedic Ritual That Modern Indian Law Would Criminalise</x:v>
      </x:c>
      <x:c r="C18" s="26" t="str">
        <x:v>Some of what the sacred texts prescribe, modern India makes a crime.</x:v>
      </x:c>
      <x:c r="D18" s="28" t="n">
        <x:v>1547</x:v>
      </x:c>
      <x:c r="E18" s="26" t="str">
        <x:v>present-life</x:v>
      </x:c>
      <x:c r="F18" s="26" t="str">
        <x:v>Reconnection</x:v>
      </x:c>
      <x:c r="G18" s="26" t="str">
        <x:v>Reading Room</x:v>
      </x:c>
      <x:c r="H18" s="26" t="str">
        <x:v>Connects historical interpretation to current law or practice; legal claims require date and jurisdiction checks. Its central public claim is “Some of what the sacred texts prescribe, modern India makes a crime.” The page has 11 estimated source entries, 0 external links, 1 tables and 0 inline SVGs; source state: substantial bibliography, mostly non-linked</x:v>
      </x:c>
      <x:c r="I18" s="28" t="n">
        <x:v>11</x:v>
      </x:c>
      <x:c r="J18" s="28" t="n">
        <x:v>0</x:v>
      </x:c>
      <x:c r="K18" s="26" t="str">
        <x:v>Merge</x:v>
      </x:c>
      <x:c r="L18" s="26" t="str">
        <x:v>Low</x:v>
      </x:c>
      <x:c r="M18" s="26" t="str">
        <x:v>Merge into `criminalised`; preserve unique evidence and redirect this URL.</x:v>
      </x:c>
      <x:c r="N18" s="26" t="str">
        <x:v>No</x:v>
      </x:c>
      <x:c r="O18" s="28" t="n">
        <x:v>4</x:v>
      </x:c>
    </x:row>
    <x:row r="19" ht="68" customHeight="1">
      <x:c r="A19" s="26" t="str">
        <x:v>criminalised</x:v>
      </x:c>
      <x:c r="B19" s="26" t="str">
        <x:v>What Would Be Illegal Now: Vedic Ritual vs Indian Statute</x:v>
      </x:c>
      <x:c r="C19" s="26" t="str">
        <x:v>India has criminalised what the hymns prescribe.</x:v>
      </x:c>
      <x:c r="D19" s="28" t="n">
        <x:v>938</x:v>
      </x:c>
      <x:c r="E19" s="26" t="str">
        <x:v>social-history</x:v>
      </x:c>
      <x:c r="F19" s="26" t="str">
        <x:v>Tamil Retrofuture</x:v>
      </x:c>
      <x:c r="G19" s="26" t="str">
        <x:v>Reading Room</x:v>
      </x:c>
      <x:c r="H19" s="26" t="str">
        <x:v>High public value but high reputational risk when chronology, agency, or causation is stated categorically. Its central public claim is “India has criminalised what the hymns prescribe.” The page has 5 estimated source entries, 0 external links, 2 tables and 0 inline SVGs; source state: limited bibliography</x:v>
      </x:c>
      <x:c r="I19" s="28" t="n">
        <x:v>5</x:v>
      </x:c>
      <x:c r="J19" s="28" t="n">
        <x:v>0</x:v>
      </x:c>
      <x:c r="K19" s="26" t="str">
        <x:v>Keep</x:v>
      </x:c>
      <x:c r="L19" s="26" t="str">
        <x:v>Low</x:v>
      </x:c>
      <x:c r="M19" s="26" t="str">
        <x:v>Preserve the core argument; complete citation, image-rights, accessibility, and copy review before publication.</x:v>
      </x:c>
      <x:c r="N19" s="26" t="str">
        <x:v>No</x:v>
      </x:c>
      <x:c r="O19" s="28" t="n">
        <x:v>1</x:v>
      </x:c>
    </x:row>
    <x:row r="20" ht="68" customHeight="1">
      <x:c r="A20" s="26" t="str">
        <x:v>custody</x:v>
      </x:c>
      <x:c r="B20" s="26" t="str">
        <x:v>Manuscript Custody: Who Held the Texts and Who Was Kept Out</x:v>
      </x:c>
      <x:c r="C20" s="26" t="str">
        <x:v>Every text was kept by someone with something at stake.</x:v>
      </x:c>
      <x:c r="D20" s="28" t="n">
        <x:v>1375</x:v>
      </x:c>
      <x:c r="E20" s="26" t="str">
        <x:v>collection-investigation</x:v>
      </x:c>
      <x:c r="F20" s="26" t="str">
        <x:v>Extraction / Collection</x:v>
      </x:c>
      <x:c r="G20" s="26" t="str">
        <x:v>Reading Room</x:v>
      </x:c>
      <x:c r="H20" s="26" t="str">
        <x:v>Supports the custody/extraction critique, but every institutional implication must be documented. Its central public claim is “Every text was kept by someone with something at stake.” The page has 7 estimated source entries, 0 external links, 1 tables and 0 inline SVGs; source state: limited bibliography</x:v>
      </x:c>
      <x:c r="I20" s="28" t="n">
        <x:v>7</x:v>
      </x:c>
      <x:c r="J20" s="28" t="n">
        <x:v>0</x:v>
      </x:c>
      <x:c r="K20" s="26" t="str">
        <x:v>Keep</x:v>
      </x:c>
      <x:c r="L20" s="26" t="str">
        <x:v>Medium</x:v>
      </x:c>
      <x:c r="M20" s="26" t="str">
        <x:v>Preserve the core argument; complete citation, image-rights, accessibility, and copy review before publication.</x:v>
      </x:c>
      <x:c r="N20" s="26" t="str">
        <x:v>Yes</x:v>
      </x:c>
      <x:c r="O20" s="28" t="n">
        <x:v>55</x:v>
      </x:c>
    </x:row>
    <x:row r="21" ht="68" customHeight="1">
      <x:c r="A21" s="26" t="str">
        <x:v>dravidian-sky</x:v>
      </x:c>
      <x:c r="B21" s="26" t="str">
        <x:v>Dravidian Star Names and Indigenous South Indian Astronomy</x:v>
      </x:c>
      <x:c r="C21" s="26" t="str">
        <x:v>A complete sky vocabulary, a landscape time-system, and a hereditary non-Brahmin astronomer caste.</x:v>
      </x:c>
      <x:c r="D21" s="28" t="n">
        <x:v>1610</x:v>
      </x:c>
      <x:c r="E21" s="26" t="str">
        <x:v>cosmology</x:v>
      </x:c>
      <x:c r="F21" s="26" t="str">
        <x:v>Nocturnal Veḷi</x:v>
      </x:c>
      <x:c r="G21" s="26" t="str">
        <x:v>Reading Room</x:v>
      </x:c>
      <x:c r="H21" s="26" t="str">
        <x:v>Visually compelling but vulnerable to retrojection and priority claims; separate observation, naming, and later computation. Its central public claim is “A complete sky vocabulary, a landscape time-system, and a hereditary non-Brahmin astronomer caste.” The page has 6 estimated source entries, 0 external links, 3 tables and 0 inline SVGs; source state: limited bibliography</x:v>
      </x:c>
      <x:c r="I21" s="28" t="n">
        <x:v>6</x:v>
      </x:c>
      <x:c r="J21" s="28" t="n">
        <x:v>0</x:v>
      </x:c>
      <x:c r="K21" s="26" t="str">
        <x:v>Keep</x:v>
      </x:c>
      <x:c r="L21" s="26" t="str">
        <x:v>Low</x:v>
      </x:c>
      <x:c r="M21" s="26" t="str">
        <x:v>Preserve the core argument; complete citation, image-rights, accessibility, and copy review before publication.</x:v>
      </x:c>
      <x:c r="N21" s="26" t="str">
        <x:v>No</x:v>
      </x:c>
      <x:c r="O21" s="28" t="n">
        <x:v>1</x:v>
      </x:c>
    </x:row>
    <x:row r="22" ht="68" customHeight="1">
      <x:c r="A22" s="26" t="str">
        <x:v>elamite</x:v>
      </x:c>
      <x:c r="B22" s="26" t="str">
        <x:v>Elamite and Dravidian: The Contested Language Link</x:v>
      </x:c>
      <x:c r="C22" s="26" t="str">
        <x:v>The working language of the Persian empire, written for 2,300 years and still partly undeciphered.</x:v>
      </x:c>
      <x:c r="D22" s="28" t="n">
        <x:v>1919</x:v>
      </x:c>
      <x:c r="E22" s="26" t="str">
        <x:v>language</x:v>
      </x:c>
      <x:c r="F22" s="26" t="str">
        <x:v>Nocturnal Veḷi</x:v>
      </x:c>
      <x:c r="G22" s="26" t="str">
        <x:v>Reading Room</x:v>
      </x:c>
      <x:c r="H22" s="26" t="str">
        <x:v>Best framed around established correspondences, competing hypotheses, and clearly bounded unknowns. Its central public claim is “The working language of the Persian empire, written for 2,300 years and still partly undeciphered.” The page has 5 estimated source entries, 0 external links, 4 tables and 0 inline SVGs; source state: limited bibliography</x:v>
      </x:c>
      <x:c r="I22" s="28" t="n">
        <x:v>5</x:v>
      </x:c>
      <x:c r="J22" s="28" t="n">
        <x:v>0</x:v>
      </x:c>
      <x:c r="K22" s="26" t="str">
        <x:v>Hold</x:v>
      </x:c>
      <x:c r="L22" s="26" t="str">
        <x:v>Critical</x:v>
      </x:c>
      <x:c r="M22" s="26" t="str">
        <x:v>Withhold from MVP until load-bearing claims receive claim-level citations and specialist/editorial review.</x:v>
      </x:c>
      <x:c r="N22" s="26" t="str">
        <x:v>No</x:v>
      </x:c>
      <x:c r="O22" s="28" t="n">
        <x:v>1</x:v>
      </x:c>
    </x:row>
    <x:row r="23" ht="68" customHeight="1">
      <x:c r="A23" s="26" t="str">
        <x:v>endogamy-clock</x:v>
      </x:c>
      <x:c r="B23" s="26" t="str">
        <x:v>Dating Caste Endogamy in the Genome</x:v>
      </x:c>
      <x:c r="C23" s="26" t="str">
        <x:v>“When mixing stopped” means two completely different things in this dataset.</x:v>
      </x:c>
      <x:c r="D23" s="28" t="n">
        <x:v>1044</x:v>
      </x:c>
      <x:c r="E23" s="26" t="str">
        <x:v>chronology</x:v>
      </x:c>
      <x:c r="F23" s="26" t="str">
        <x:v>Living Signal Field</x:v>
      </x:c>
      <x:c r="G23" s="26" t="str">
        <x:v>Reading Room</x:v>
      </x:c>
      <x:c r="H23" s="26" t="str">
        <x:v>High-value analytical page if date ranges, samples, uncertainty, and alternative interpretations remain visible. Its central public claim is ““When mixing stopped” means two completely different things in this dataset.” The page has 3 estimated source entries, 0 external links, 1 tables and 0 inline SVGs; source state: limited bibliography</x:v>
      </x:c>
      <x:c r="I23" s="28" t="n">
        <x:v>3</x:v>
      </x:c>
      <x:c r="J23" s="28" t="n">
        <x:v>0</x:v>
      </x:c>
      <x:c r="K23" s="26" t="str">
        <x:v>Keep</x:v>
      </x:c>
      <x:c r="L23" s="26" t="str">
        <x:v>Low</x:v>
      </x:c>
      <x:c r="M23" s="26" t="str">
        <x:v>Preserve the core argument; complete citation, image-rights, accessibility, and copy review before publication.</x:v>
      </x:c>
      <x:c r="N23" s="26" t="str">
        <x:v>No</x:v>
      </x:c>
      <x:c r="O23" s="28" t="n">
        <x:v>2</x:v>
      </x:c>
    </x:row>
    <x:row r="24" ht="68" customHeight="1">
      <x:c r="A24" s="26" t="str">
        <x:v>enter</x:v>
      </x:c>
      <x:c r="B24" s="26" t="str">
        <x:v>Enter Veli: Explore, Exhibits, Evidence, Learn</x:v>
      </x:c>
      <x:c r="C24" s="26" t="str">
        <x:v>Evidence, and what it will not support.</x:v>
      </x:c>
      <x:c r="D24" s="28" t="n">
        <x:v>1803</x:v>
      </x:c>
      <x:c r="E24" s="26" t="str">
        <x:v>foyer</x:v>
      </x:c>
      <x:c r="F24" s="26" t="str">
        <x:v>Tamil Retrofuture</x:v>
      </x:c>
      <x:c r="G24" s="26" t="str">
        <x:v>Reading Room</x:v>
      </x:c>
      <x:c r="H24" s="26" t="str">
        <x:v>Carries the burden of orienting different audiences without becoming an index dump. Its central public claim is “Evidence, and what it will not support.” The page has 2 estimated source entries, 0 external links, 0 tables and 0 inline SVGs; source state: minimal source section</x:v>
      </x:c>
      <x:c r="I24" s="28" t="n">
        <x:v>2</x:v>
      </x:c>
      <x:c r="J24" s="28" t="n">
        <x:v>0</x:v>
      </x:c>
      <x:c r="K24" s="26" t="str">
        <x:v>Revise</x:v>
      </x:c>
      <x:c r="L24" s="26" t="str">
        <x:v>Medium</x:v>
      </x:c>
      <x:c r="M24" s="26" t="str">
        <x:v>Add claim-level citations, qualify scope and chronology, expose competing interpretations, and reduce unsupported certainty.</x:v>
      </x:c>
      <x:c r="N24" s="26" t="str">
        <x:v>Yes</x:v>
      </x:c>
      <x:c r="O24" s="28" t="n">
        <x:v>113</x:v>
      </x:c>
    </x:row>
    <x:row r="25" ht="68" customHeight="1">
      <x:c r="A25" s="26" t="str">
        <x:v>gotra</x:v>
      </x:c>
      <x:c r="B25" s="26" t="str">
        <x:v>Gotra and Genetics: Lineage Exogamy in South Asian DNA</x:v>
      </x:c>
      <x:c r="C25" s="26" t="str">
        <x:v>The founder effects are at the jāti, not the gotra — and that is exactly what the two rules predict.</x:v>
      </x:c>
      <x:c r="D25" s="28" t="n">
        <x:v>823</x:v>
      </x:c>
      <x:c r="E25" s="26" t="str">
        <x:v>research-essay</x:v>
      </x:c>
      <x:c r="F25" s="26" t="str">
        <x:v>Reading Room</x:v>
      </x:c>
      <x:c r="G25" s="26" t="str">
        <x:v>Reading Room</x:v>
      </x:c>
      <x:c r="H25" s="26" t="str">
        <x:v>Potential Reading Room material; its readiness depends on claim-level citations, not prose confidence. Its central public claim is “The founder effects are at the jāti, not the gotra — and that is exactly what the two rules predict.” The page has 0 estimated source entries, 0 external links, 1 tables and 1 inline SVGs; source state: no detected source section</x:v>
      </x:c>
      <x:c r="I25" s="28" t="n">
        <x:v>0</x:v>
      </x:c>
      <x:c r="J25" s="28" t="n">
        <x:v>0</x:v>
      </x:c>
      <x:c r="K25" s="26" t="str">
        <x:v>Revise</x:v>
      </x:c>
      <x:c r="L25" s="26" t="str">
        <x:v>High</x:v>
      </x:c>
      <x:c r="M25" s="26" t="str">
        <x:v>Add claim-level citations, qualify scope and chronology, expose competing interpretations, and reduce unsupported certainty.</x:v>
      </x:c>
      <x:c r="N25" s="26" t="str">
        <x:v>No</x:v>
      </x:c>
      <x:c r="O25" s="28" t="n">
        <x:v>47</x:v>
      </x:c>
    </x:row>
    <x:row r="26" ht="68" customHeight="1">
      <x:c r="A26" s="26" t="str">
        <x:v>index</x:v>
      </x:c>
      <x:c r="B26" s="26" t="str">
        <x:v>Veli: A Digital Museum of Ancient South Asia</x:v>
      </x:c>
      <x:c r="C26" s="26" t="str"/>
      <x:c r="D26" s="28" t="n">
        <x:v>861</x:v>
      </x:c>
      <x:c r="E26" s="26" t="str">
        <x:v>threshold</x:v>
      </x:c>
      <x:c r="F26" s="26" t="str">
        <x:v>Nocturnal Veḷi</x:v>
      </x:c>
      <x:c r="G26" s="26" t="str">
        <x:v>Reading Room</x:v>
      </x:c>
      <x:c r="H26" s="26" t="str">
        <x:v>Defines the conceptual entrance and should remain exceptionally restrained. Its central public claim is “Something was emptied out of this place. Here is what it held. A reproducible museum of ancient South Asia, from Meluhha to Keezhadi.” The page has 0 estimated source entries, 0 external links, 0 tables and 1 inline SVGs; source state: no detected source section</x:v>
      </x:c>
      <x:c r="I26" s="28" t="n">
        <x:v>0</x:v>
      </x:c>
      <x:c r="J26" s="28" t="n">
        <x:v>0</x:v>
      </x:c>
      <x:c r="K26" s="26" t="str">
        <x:v>Revise</x:v>
      </x:c>
      <x:c r="L26" s="26" t="str">
        <x:v>Medium</x:v>
      </x:c>
      <x:c r="M26" s="26" t="str">
        <x:v>Add claim-level citations, qualify scope and chronology, expose competing interpretations, and reduce unsupported certainty.</x:v>
      </x:c>
      <x:c r="N26" s="26" t="str">
        <x:v>Yes</x:v>
      </x:c>
      <x:c r="O26" s="28" t="n">
        <x:v>0</x:v>
      </x:c>
    </x:row>
    <x:row r="27" ht="68" customHeight="1">
      <x:c r="A27" s="26" t="str">
        <x:v>indology</x:v>
      </x:c>
      <x:c r="B27" s="26" t="str">
        <x:v>Western Indology and Its Asymmetric Evidence Standards</x:v>
      </x:c>
      <x:c r="C27" s="26" t="str">
        <x:v>A discipline founded to run courts, which read one dead language and legislated for a subcontinent.</x:v>
      </x:c>
      <x:c r="D27" s="28" t="n">
        <x:v>3953</x:v>
      </x:c>
      <x:c r="E27" s="26" t="str">
        <x:v>research-essay</x:v>
      </x:c>
      <x:c r="F27" s="26" t="str">
        <x:v>Reading Room</x:v>
      </x:c>
      <x:c r="G27" s="26" t="str">
        <x:v>Reading Room</x:v>
      </x:c>
      <x:c r="H27" s="26" t="str">
        <x:v>Potential Reading Room material; its readiness depends on claim-level citations, not prose confidence. Its central public claim is “A discipline founded to run courts, which read one dead language and legislated for a subcontinent.” The page has 16 estimated source entries, 0 external links, 4 tables and 2 inline SVGs; source state: substantial bibliography, mostly non-linked</x:v>
      </x:c>
      <x:c r="I27" s="28" t="n">
        <x:v>16</x:v>
      </x:c>
      <x:c r="J27" s="28" t="n">
        <x:v>0</x:v>
      </x:c>
      <x:c r="K27" s="26" t="str">
        <x:v>Split</x:v>
      </x:c>
      <x:c r="L27" s="26" t="str">
        <x:v>Low</x:v>
      </x:c>
      <x:c r="M27" s="26" t="str">
        <x:v>Split the argument or interactive/data layer from the long-form interpretation; preserve one canonical overview.</x:v>
      </x:c>
      <x:c r="N27" s="26" t="str">
        <x:v>No</x:v>
      </x:c>
      <x:c r="O27" s="28" t="n">
        <x:v>47</x:v>
      </x:c>
    </x:row>
    <x:row r="28" ht="68" customHeight="1">
      <x:c r="A28" s="26" t="str">
        <x:v>isnad</x:v>
      </x:c>
      <x:c r="B28" s="26" t="str">
        <x:v>Isnad and Chains of Transmission in Text Criticism</x:v>
      </x:c>
      <x:c r="C28" s="26" t="str">
        <x:v>A formal science of citing your sources, developed in Arabic.</x:v>
      </x:c>
      <x:c r="D28" s="28" t="n">
        <x:v>1632</x:v>
      </x:c>
      <x:c r="E28" s="26" t="str">
        <x:v>research-essay</x:v>
      </x:c>
      <x:c r="F28" s="26" t="str">
        <x:v>Reading Room</x:v>
      </x:c>
      <x:c r="G28" s="26" t="str">
        <x:v>Reading Room</x:v>
      </x:c>
      <x:c r="H28" s="26" t="str">
        <x:v>Potential Reading Room material; its readiness depends on claim-level citations, not prose confidence. Its central public claim is “A formal science of citing your sources, developed in Arabic.” The page has 5 estimated source entries, 0 external links, 4 tables and 0 inline SVGs; source state: limited bibliography</x:v>
      </x:c>
      <x:c r="I28" s="28" t="n">
        <x:v>5</x:v>
      </x:c>
      <x:c r="J28" s="28" t="n">
        <x:v>0</x:v>
      </x:c>
      <x:c r="K28" s="26" t="str">
        <x:v>Keep</x:v>
      </x:c>
      <x:c r="L28" s="26" t="str">
        <x:v>Low</x:v>
      </x:c>
      <x:c r="M28" s="26" t="str">
        <x:v>Preserve the core argument; complete citation, image-rights, accessibility, and copy review before publication.</x:v>
      </x:c>
      <x:c r="N28" s="26" t="str">
        <x:v>No</x:v>
      </x:c>
      <x:c r="O28" s="28" t="n">
        <x:v>1</x:v>
      </x:c>
    </x:row>
    <x:row r="29" ht="68" customHeight="1">
      <x:c r="A29" s="26" t="str">
        <x:v>jatization</x:v>
      </x:c>
      <x:c r="B29" s="26" t="str">
        <x:v>Jatization: How Varna Hardened into Birth-Bound Caste</x:v>
      </x:c>
      <x:c r="C29" s="26" t="str">
        <x:v>A colour-word became a cage. Untouchability came last, and by design.</x:v>
      </x:c>
      <x:c r="D29" s="28" t="n">
        <x:v>1307</x:v>
      </x:c>
      <x:c r="E29" s="26" t="str">
        <x:v>social-history</x:v>
      </x:c>
      <x:c r="F29" s="26" t="str">
        <x:v>Tamil Retrofuture</x:v>
      </x:c>
      <x:c r="G29" s="26" t="str">
        <x:v>Reading Room</x:v>
      </x:c>
      <x:c r="H29" s="26" t="str">
        <x:v>High public value but high reputational risk when chronology, agency, or causation is stated categorically. Its central public claim is “A colour-word became a cage. Untouchability came last, and by design.” The page has 14 estimated source entries, 1 external links, 1 tables and 0 inline SVGs; source state: substantial bibliography, mostly non-linked</x:v>
      </x:c>
      <x:c r="I29" s="28" t="n">
        <x:v>14</x:v>
      </x:c>
      <x:c r="J29" s="28" t="n">
        <x:v>1</x:v>
      </x:c>
      <x:c r="K29" s="26" t="str">
        <x:v>Keep</x:v>
      </x:c>
      <x:c r="L29" s="26" t="str">
        <x:v>Medium</x:v>
      </x:c>
      <x:c r="M29" s="26" t="str">
        <x:v>Preserve the core argument; complete citation, image-rights, accessibility, and copy review before publication.</x:v>
      </x:c>
      <x:c r="N29" s="26" t="str">
        <x:v>No</x:v>
      </x:c>
      <x:c r="O29" s="28" t="n">
        <x:v>17</x:v>
      </x:c>
    </x:row>
    <x:row r="30" ht="68" customHeight="1">
      <x:c r="A30" s="26" t="str">
        <x:v>kali-yuga</x:v>
      </x:c>
      <x:c r="B30" s="26" t="str">
        <x:v>Kali Yuga 3102 BCE: A Date Calculated, Not Observed</x:v>
      </x:c>
      <x:c r="C30" s="26" t="str">
        <x:v>The date that proves Indian antiquity was calculated in 499 CE with Greek mathematics.</x:v>
      </x:c>
      <x:c r="D30" s="28" t="n">
        <x:v>1038</x:v>
      </x:c>
      <x:c r="E30" s="26" t="str">
        <x:v>research-essay</x:v>
      </x:c>
      <x:c r="F30" s="26" t="str">
        <x:v>Reading Room</x:v>
      </x:c>
      <x:c r="G30" s="26" t="str">
        <x:v>Reading Room</x:v>
      </x:c>
      <x:c r="H30" s="26" t="str">
        <x:v>Potential Reading Room material; its readiness depends on claim-level citations, not prose confidence. Its central public claim is “The date that proves Indian antiquity was calculated in 499 CE with Greek mathematics.” The page has 1 estimated source entries, 0 external links, 2 tables and 0 inline SVGs; source state: minimal source section</x:v>
      </x:c>
      <x:c r="I30" s="28" t="n">
        <x:v>1</x:v>
      </x:c>
      <x:c r="J30" s="28" t="n">
        <x:v>0</x:v>
      </x:c>
      <x:c r="K30" s="26" t="str">
        <x:v>Revise</x:v>
      </x:c>
      <x:c r="L30" s="26" t="str">
        <x:v>High</x:v>
      </x:c>
      <x:c r="M30" s="26" t="str">
        <x:v>Add claim-level citations, qualify scope and chronology, expose competing interpretations, and reduce unsupported certainty.</x:v>
      </x:c>
      <x:c r="N30" s="26" t="str">
        <x:v>No</x:v>
      </x:c>
      <x:c r="O30" s="28" t="n">
        <x:v>1</x:v>
      </x:c>
    </x:row>
    <x:row r="31" ht="68" customHeight="1">
      <x:c r="A31" s="26" t="str">
        <x:v>keeladi</x:v>
      </x:c>
      <x:c r="B31" s="26" t="str">
        <x:v>Keeladi: A Literate Tamil City from 6th Century BCE</x:v>
      </x:c>
      <x:c r="C31" s="26" t="str">
        <x:v>Keeladi: a literate southern city — and an excavation the state could not leave alone.</x:v>
      </x:c>
      <x:c r="D31" s="28" t="n">
        <x:v>1164</x:v>
      </x:c>
      <x:c r="E31" s="26" t="str">
        <x:v>place</x:v>
      </x:c>
      <x:c r="F31" s="26" t="str">
        <x:v>Living Tiṇai</x:v>
      </x:c>
      <x:c r="G31" s="26" t="str">
        <x:v>Reading Room</x:v>
      </x:c>
      <x:c r="H31" s="26" t="str">
        <x:v>Strong museum material because place, excavation, politics, and present stakes can remain connected. Its central public claim is “Keeladi: a literate southern city — and an excavation the state could not leave alone.” The page has 14 estimated source entries, 0 external links, 1 tables and 0 inline SVGs; source state: substantial bibliography, mostly non-linked</x:v>
      </x:c>
      <x:c r="I31" s="28" t="n">
        <x:v>14</x:v>
      </x:c>
      <x:c r="J31" s="28" t="n">
        <x:v>0</x:v>
      </x:c>
      <x:c r="K31" s="26" t="str">
        <x:v>Keep</x:v>
      </x:c>
      <x:c r="L31" s="26" t="str">
        <x:v>Low</x:v>
      </x:c>
      <x:c r="M31" s="26" t="str">
        <x:v>Preserve the core argument; complete citation, image-rights, accessibility, and copy review before publication.</x:v>
      </x:c>
      <x:c r="N31" s="26" t="str">
        <x:v>Yes</x:v>
      </x:c>
      <x:c r="O31" s="28" t="n">
        <x:v>8</x:v>
      </x:c>
    </x:row>
    <x:row r="32" ht="68" customHeight="1">
      <x:c r="A32" s="26" t="str">
        <x:v>kinship</x:v>
      </x:c>
      <x:c r="B32" s="26" t="str">
        <x:v>Kinship Terms and What They Reveal About Ancient Society</x:v>
      </x:c>
      <x:c r="C32" s="26" t="str">
        <x:v>Cousin marriage, polyandry and matriliny in South Asia — and why the north–south story does not survive contact with Iran.</x:v>
      </x:c>
      <x:c r="D32" s="28" t="n">
        <x:v>6069</x:v>
      </x:c>
      <x:c r="E32" s="26" t="str">
        <x:v>research-essay</x:v>
      </x:c>
      <x:c r="F32" s="26" t="str">
        <x:v>Reading Room</x:v>
      </x:c>
      <x:c r="G32" s="26" t="str">
        <x:v>Reading Room</x:v>
      </x:c>
      <x:c r="H32" s="26" t="str">
        <x:v>Potential Reading Room material; its readiness depends on claim-level citations, not prose confidence. Its central public claim is “Cousin marriage, polyandry and matriliny in South Asia — and why the north–south story does not survive contact with Iran.” The page has 41 estimated source entries, 0 external links, 15 tables and 1 inline SVGs; source state: substantial bibliography, mostly non-linked</x:v>
      </x:c>
      <x:c r="I32" s="28" t="n">
        <x:v>41</x:v>
      </x:c>
      <x:c r="J32" s="28" t="n">
        <x:v>0</x:v>
      </x:c>
      <x:c r="K32" s="26" t="str">
        <x:v>Split</x:v>
      </x:c>
      <x:c r="L32" s="26" t="str">
        <x:v>Low</x:v>
      </x:c>
      <x:c r="M32" s="26" t="str">
        <x:v>Split the argument or interactive/data layer from the long-form interpretation; preserve one canonical overview.</x:v>
      </x:c>
      <x:c r="N32" s="26" t="str">
        <x:v>No</x:v>
      </x:c>
      <x:c r="O32" s="28" t="n">
        <x:v>46</x:v>
      </x:c>
    </x:row>
    <x:row r="33" ht="68" customHeight="1">
      <x:c r="A33" s="26" t="str">
        <x:v>kural</x:v>
      </x:c>
      <x:c r="B33" s="26" t="str">
        <x:v>Tirukkural: Tamil Ethics Without Caste or Ritual</x:v>
      </x:c>
      <x:c r="C33" s="26" t="str">
        <x:v>Thirteen hundred and thirty couplets on how to live, and the word for caste is not in any of them.</x:v>
      </x:c>
      <x:c r="D33" s="28" t="n">
        <x:v>879</x:v>
      </x:c>
      <x:c r="E33" s="26" t="str">
        <x:v>text</x:v>
      </x:c>
      <x:c r="F33" s="26" t="str">
        <x:v>Tamil Retrofuture</x:v>
      </x:c>
      <x:c r="G33" s="26" t="str">
        <x:v>Reading Room</x:v>
      </x:c>
      <x:c r="H33" s="26" t="str">
        <x:v>Strong anchor text if translations, editions, counts, and absences are reproducible. Its central public claim is “Thirteen hundred and thirty couplets on how to live, and the word for caste is not in any of them.” The page has 1 estimated source entries, 0 external links, 2 tables and 1 inline SVGs; source state: minimal source section</x:v>
      </x:c>
      <x:c r="I33" s="28" t="n">
        <x:v>1</x:v>
      </x:c>
      <x:c r="J33" s="28" t="n">
        <x:v>0</x:v>
      </x:c>
      <x:c r="K33" s="26" t="str">
        <x:v>Revise</x:v>
      </x:c>
      <x:c r="L33" s="26" t="str">
        <x:v>Medium</x:v>
      </x:c>
      <x:c r="M33" s="26" t="str">
        <x:v>Add claim-level citations, qualify scope and chronology, expose competing interpretations, and reduce unsupported certainty.</x:v>
      </x:c>
      <x:c r="N33" s="26" t="str">
        <x:v>Yes</x:v>
      </x:c>
      <x:c r="O33" s="28" t="n">
        <x:v>55</x:v>
      </x:c>
    </x:row>
    <x:row r="34" ht="68" customHeight="1">
      <x:c r="A34" s="26" t="str">
        <x:v>meluhha-trade</x:v>
      </x:c>
      <x:c r="B34" s="26" t="str">
        <x:v>Meluhha Trade: The Indus Seen Through Mesopotamia</x:v>
      </x:c>
      <x:c r="C34" s="26" t="str">
        <x:v>Meluhha: the Indus world, written down by its trading partners.</x:v>
      </x:c>
      <x:c r="D34" s="28" t="n">
        <x:v>1175</x:v>
      </x:c>
      <x:c r="E34" s="26" t="str">
        <x:v>network</x:v>
      </x:c>
      <x:c r="F34" s="26" t="str">
        <x:v>Living Signal Field</x:v>
      </x:c>
      <x:c r="G34" s="26" t="str">
        <x:v>Reading Room</x:v>
      </x:c>
      <x:c r="H34" s="26" t="str">
        <x:v>Excellent atlas material if direction, date, and evidentiary basis are encoded separately. Its central public claim is “Meluhha: the Indus world, written down by its trading partners.” The page has 19 estimated source entries, 1 external links, 1 tables and 0 inline SVGs; source state: substantial bibliography, mostly non-linked</x:v>
      </x:c>
      <x:c r="I34" s="28" t="n">
        <x:v>19</x:v>
      </x:c>
      <x:c r="J34" s="28" t="n">
        <x:v>1</x:v>
      </x:c>
      <x:c r="K34" s="26" t="str">
        <x:v>Keep</x:v>
      </x:c>
      <x:c r="L34" s="26" t="str">
        <x:v>Low</x:v>
      </x:c>
      <x:c r="M34" s="26" t="str">
        <x:v>Preserve the core argument; complete citation, image-rights, accessibility, and copy review before publication.</x:v>
      </x:c>
      <x:c r="N34" s="26" t="str">
        <x:v>No</x:v>
      </x:c>
      <x:c r="O34" s="28" t="n">
        <x:v>11</x:v>
      </x:c>
    </x:row>
    <x:row r="35" ht="68" customHeight="1">
      <x:c r="A35" s="26" t="str">
        <x:v>meluhha</x:v>
      </x:c>
      <x:c r="B35" s="26" t="str">
        <x:v>Meluhha: What Mesopotamia Called the Indus</x:v>
      </x:c>
      <x:c r="C35" s="26" t="str">
        <x:v>For five centuries Mesopotamian scribes wrote of a maritime country to the east — and kept a translator for its language.</x:v>
      </x:c>
      <x:c r="D35" s="28" t="n">
        <x:v>1146</x:v>
      </x:c>
      <x:c r="E35" s="26" t="str">
        <x:v>language</x:v>
      </x:c>
      <x:c r="F35" s="26" t="str">
        <x:v>Nocturnal Veḷi</x:v>
      </x:c>
      <x:c r="G35" s="26" t="str">
        <x:v>Reading Room</x:v>
      </x:c>
      <x:c r="H35" s="26" t="str">
        <x:v>Best framed around established correspondences, competing hypotheses, and clearly bounded unknowns. Its central public claim is “For five centuries Mesopotamian scribes wrote of a maritime country to the east — and kept a translator for its language.” The page has 3 estimated source entries, 0 external links, 3 tables and 1 inline SVGs; source state: limited bibliography</x:v>
      </x:c>
      <x:c r="I35" s="28" t="n">
        <x:v>3</x:v>
      </x:c>
      <x:c r="J35" s="28" t="n">
        <x:v>0</x:v>
      </x:c>
      <x:c r="K35" s="26" t="str">
        <x:v>Keep</x:v>
      </x:c>
      <x:c r="L35" s="26" t="str">
        <x:v>Low</x:v>
      </x:c>
      <x:c r="M35" s="26" t="str">
        <x:v>Preserve the core argument; complete citation, image-rights, accessibility, and copy review before publication.</x:v>
      </x:c>
      <x:c r="N35" s="26" t="str">
        <x:v>No</x:v>
      </x:c>
      <x:c r="O35" s="28" t="n">
        <x:v>1</x:v>
      </x:c>
    </x:row>
    <x:row r="36" ht="68" customHeight="1">
      <x:c r="A36" s="26" t="str">
        <x:v>mitanni</x:v>
      </x:c>
      <x:c r="B36" s="26" t="str">
        <x:v>Mitanni: Indo-Aryan Names in a Syrian Kingdom</x:v>
      </x:c>
      <x:c r="C36" s="26" t="str">
        <x:v>Mitra, Varuṇa, Indra and the Nāsatyas are invoked in a Hittite treaty in northern Syria.</x:v>
      </x:c>
      <x:c r="D36" s="28" t="n">
        <x:v>859</x:v>
      </x:c>
      <x:c r="E36" s="26" t="str">
        <x:v>network</x:v>
      </x:c>
      <x:c r="F36" s="26" t="str">
        <x:v>Living Signal Field</x:v>
      </x:c>
      <x:c r="G36" s="26" t="str">
        <x:v>Reading Room</x:v>
      </x:c>
      <x:c r="H36" s="26" t="str">
        <x:v>Excellent atlas material if direction, date, and evidentiary basis are encoded separately. Its central public claim is “Mitra, Varuṇa, Indra and the Nāsatyas are invoked in a Hittite treaty in northern Syria.” The page has 3 estimated source entries, 0 external links, 1 tables and 0 inline SVGs; source state: limited bibliography</x:v>
      </x:c>
      <x:c r="I36" s="28" t="n">
        <x:v>3</x:v>
      </x:c>
      <x:c r="J36" s="28" t="n">
        <x:v>0</x:v>
      </x:c>
      <x:c r="K36" s="26" t="str">
        <x:v>Keep</x:v>
      </x:c>
      <x:c r="L36" s="26" t="str">
        <x:v>Low</x:v>
      </x:c>
      <x:c r="M36" s="26" t="str">
        <x:v>Preserve the core argument; complete citation, image-rights, accessibility, and copy review before publication.</x:v>
      </x:c>
      <x:c r="N36" s="26" t="str">
        <x:v>No</x:v>
      </x:c>
      <x:c r="O36" s="28" t="n">
        <x:v>46</x:v>
      </x:c>
    </x:row>
    <x:row r="37" ht="68" customHeight="1">
      <x:c r="A37" s="26" t="str">
        <x:v>mlecha</x:v>
      </x:c>
      <x:c r="B37" s="26" t="str">
        <x:v>Mleccha: The Word for Those Who Spoke Wrongly</x:v>
      </x:c>
      <x:c r="C37" s="26" t="str">
        <x:v>MLE C HA [sic]</x:v>
      </x:c>
      <x:c r="D37" s="28" t="n">
        <x:v>8</x:v>
      </x:c>
      <x:c r="E37" s="26" t="str">
        <x:v>deep-history</x:v>
      </x:c>
      <x:c r="F37" s="26" t="str">
        <x:v>Nocturnal Veḷi</x:v>
      </x:c>
      <x:c r="G37" s="26" t="str">
        <x:v>Reading Room</x:v>
      </x:c>
      <x:c r="H37" s="26" t="str">
        <x:v>Should foreground uncertainty and avoid converting linguistic or archaeological possibility into ancestry. Its central public claim is “MLE C HA [sic]” The page has 12 estimated source entries, 0 external links, 1 tables and 0 inline SVGs; source state: substantial bibliography, mostly non-linked</x:v>
      </x:c>
      <x:c r="I37" s="28" t="n">
        <x:v>12</x:v>
      </x:c>
      <x:c r="J37" s="28" t="n">
        <x:v>0</x:v>
      </x:c>
      <x:c r="K37" s="26" t="str">
        <x:v>Keep</x:v>
      </x:c>
      <x:c r="L37" s="26" t="str">
        <x:v>Low</x:v>
      </x:c>
      <x:c r="M37" s="26" t="str">
        <x:v>Preserve the core argument; complete citation, image-rights, accessibility, and copy review before publication.</x:v>
      </x:c>
      <x:c r="N37" s="26" t="str">
        <x:v>No</x:v>
      </x:c>
      <x:c r="O37" s="28" t="n">
        <x:v>1</x:v>
      </x:c>
    </x:row>
    <x:row r="38" ht="68" customHeight="1">
      <x:c r="A38" s="26" t="str">
        <x:v>music</x:v>
      </x:c>
      <x:c r="B38" s="26" t="str">
        <x:v>Tamil Pan to Raga: Music Systems of Ancient South Asia</x:v>
      </x:c>
      <x:c r="C38" s="26" t="str">
        <x:v>The Tamil harp is extinct in India and still played in Burma.</x:v>
      </x:c>
      <x:c r="D38" s="28" t="n">
        <x:v>1099</x:v>
      </x:c>
      <x:c r="E38" s="26" t="str">
        <x:v>culture</x:v>
      </x:c>
      <x:c r="F38" s="26" t="str">
        <x:v>Tamil Retrofuture</x:v>
      </x:c>
      <x:c r="G38" s="26" t="str">
        <x:v>Reading Room</x:v>
      </x:c>
      <x:c r="H38" s="26" t="str">
        <x:v>Potential Reading Room material; its readiness depends on claim-level citations, not prose confidence. Its central public claim is “The Tamil harp is extinct in India and still played in Burma.” The page has 0 estimated source entries, 0 external links, 1 tables and 0 inline SVGs; source state: no detected source section</x:v>
      </x:c>
      <x:c r="I38" s="28" t="n">
        <x:v>0</x:v>
      </x:c>
      <x:c r="J38" s="28" t="n">
        <x:v>0</x:v>
      </x:c>
      <x:c r="K38" s="26" t="str">
        <x:v>Revise</x:v>
      </x:c>
      <x:c r="L38" s="26" t="str">
        <x:v>Medium</x:v>
      </x:c>
      <x:c r="M38" s="26" t="str">
        <x:v>Add claim-level citations, qualify scope and chronology, expose competing interpretations, and reduce unsupported certainty.</x:v>
      </x:c>
      <x:c r="N38" s="26" t="str">
        <x:v>No</x:v>
      </x:c>
      <x:c r="O38" s="28" t="n">
        <x:v>46</x:v>
      </x:c>
    </x:row>
    <x:row r="39" ht="68" customHeight="1">
      <x:c r="A39" s="26" t="str">
        <x:v>not-the-same-thing</x:v>
      </x:c>
      <x:c r="B39" s="26" t="str">
        <x:v>Vedism Is Not Hinduism: Distinguishing the Traditions</x:v>
      </x:c>
      <x:c r="C39" s="26" t="str">
        <x:v>The Buddha was not arguing with Hinduism. There was no such thing.</x:v>
      </x:c>
      <x:c r="D39" s="28" t="n">
        <x:v>2108</x:v>
      </x:c>
      <x:c r="E39" s="26" t="str">
        <x:v>research-essay</x:v>
      </x:c>
      <x:c r="F39" s="26" t="str">
        <x:v>Reading Room</x:v>
      </x:c>
      <x:c r="G39" s="26" t="str">
        <x:v>Reading Room</x:v>
      </x:c>
      <x:c r="H39" s="26" t="str">
        <x:v>Potential Reading Room material; its readiness depends on claim-level citations, not prose confidence. Its central public claim is “The Buddha was not arguing with Hinduism. There was no such thing.” The page has 3 estimated source entries, 0 external links, 4 tables and 0 inline SVGs; source state: limited bibliography</x:v>
      </x:c>
      <x:c r="I39" s="28" t="n">
        <x:v>3</x:v>
      </x:c>
      <x:c r="J39" s="28" t="n">
        <x:v>0</x:v>
      </x:c>
      <x:c r="K39" s="26" t="str">
        <x:v>Keep</x:v>
      </x:c>
      <x:c r="L39" s="26" t="str">
        <x:v>Low</x:v>
      </x:c>
      <x:c r="M39" s="26" t="str">
        <x:v>Preserve the core argument; complete citation, image-rights, accessibility, and copy review before publication.</x:v>
      </x:c>
      <x:c r="N39" s="26" t="str">
        <x:v>No</x:v>
      </x:c>
      <x:c r="O39" s="28" t="n">
        <x:v>3</x:v>
      </x:c>
    </x:row>
    <x:row r="40" ht="68" customHeight="1">
      <x:c r="A40" s="26" t="str">
        <x:v>one-script-many-kingdoms</x:v>
      </x:c>
      <x:c r="B40" s="26" t="str">
        <x:v>Brahmi Crossed Borders: One Script, Many Kingdoms</x:v>
      </x:c>
      <x:c r="C40" s="26" t="str">
        <x:v>One script, from Afghanistan to Tamil Nadu — across a line Aśoka called foreign.</x:v>
      </x:c>
      <x:c r="D40" s="28" t="n">
        <x:v>1251</x:v>
      </x:c>
      <x:c r="E40" s="26" t="str">
        <x:v>deep-history</x:v>
      </x:c>
      <x:c r="F40" s="26" t="str">
        <x:v>Nocturnal Veḷi</x:v>
      </x:c>
      <x:c r="G40" s="26" t="str">
        <x:v>Reading Room</x:v>
      </x:c>
      <x:c r="H40" s="26" t="str">
        <x:v>Should foreground uncertainty and avoid converting linguistic or archaeological possibility into ancestry. Its central public claim is “One script, from Afghanistan to Tamil Nadu — across a line Aśoka called foreign.” The page has 13 estimated source entries, 1 external links, 1 tables and 0 inline SVGs; source state: substantial bibliography, mostly non-linked</x:v>
      </x:c>
      <x:c r="I40" s="28" t="n">
        <x:v>13</x:v>
      </x:c>
      <x:c r="J40" s="28" t="n">
        <x:v>1</x:v>
      </x:c>
      <x:c r="K40" s="26" t="str">
        <x:v>Keep</x:v>
      </x:c>
      <x:c r="L40" s="26" t="str">
        <x:v>Low</x:v>
      </x:c>
      <x:c r="M40" s="26" t="str">
        <x:v>Preserve the core argument; complete citation, image-rights, accessibility, and copy review before publication.</x:v>
      </x:c>
      <x:c r="N40" s="26" t="str">
        <x:v>No</x:v>
      </x:c>
      <x:c r="O40" s="28" t="n">
        <x:v>2</x:v>
      </x:c>
    </x:row>
    <x:row r="41" ht="68" customHeight="1">
      <x:c r="A41" s="26" t="str">
        <x:v>one-verse</x:v>
      </x:c>
      <x:c r="B41" s="26" t="str">
        <x:v>The Four Varnas Appear Together in One Rigvedic Verse</x:v>
      </x:c>
      <x:c r="C41" s="26" t="str">
        <x:v>The explicit fourfold varṇa scheme appears together in one Rigvedic verse.</x:v>
      </x:c>
      <x:c r="D41" s="28" t="n">
        <x:v>1980</x:v>
      </x:c>
      <x:c r="E41" s="26" t="str">
        <x:v>research-essay</x:v>
      </x:c>
      <x:c r="F41" s="26" t="str">
        <x:v>Reading Room</x:v>
      </x:c>
      <x:c r="G41" s="26" t="str">
        <x:v>Reading Room</x:v>
      </x:c>
      <x:c r="H41" s="26" t="str">
        <x:v>Potential Reading Room material; its readiness depends on claim-level citations, not prose confidence. Its central public claim is “The explicit fourfold varṇa scheme appears together in one Rigvedic verse.” The page has 2 estimated source entries, 0 external links, 2 tables and 0 inline SVGs; source state: minimal source section</x:v>
      </x:c>
      <x:c r="I41" s="28" t="n">
        <x:v>2</x:v>
      </x:c>
      <x:c r="J41" s="28" t="n">
        <x:v>0</x:v>
      </x:c>
      <x:c r="K41" s="26" t="str">
        <x:v>Revise</x:v>
      </x:c>
      <x:c r="L41" s="26" t="str">
        <x:v>Medium</x:v>
      </x:c>
      <x:c r="M41" s="26" t="str">
        <x:v>Add claim-level citations, qualify scope and chronology, expose competing interpretations, and reduce unsupported certainty.</x:v>
      </x:c>
      <x:c r="N41" s="26" t="str">
        <x:v>No</x:v>
      </x:c>
      <x:c r="O41" s="28" t="n">
        <x:v>54</x:v>
      </x:c>
    </x:row>
    <x:row r="42" ht="68" customHeight="1">
      <x:c r="A42" s="26" t="str">
        <x:v>origin-myths</x:v>
      </x:c>
      <x:c r="B42" s="26" t="str">
        <x:v>Origin Myths Made to Order: Genealogies for Power</x:v>
      </x:c>
      <x:c r="C42" s="26" t="str">
        <x:v>Origin myths were made to order — divine ancestry, retrofitted for whoever needed legitimacy.</x:v>
      </x:c>
      <x:c r="D42" s="28" t="n">
        <x:v>1191</x:v>
      </x:c>
      <x:c r="E42" s="26" t="str">
        <x:v>deep-history</x:v>
      </x:c>
      <x:c r="F42" s="26" t="str">
        <x:v>Nocturnal Veḷi</x:v>
      </x:c>
      <x:c r="G42" s="26" t="str">
        <x:v>Reading Room</x:v>
      </x:c>
      <x:c r="H42" s="26" t="str">
        <x:v>Should foreground uncertainty and avoid converting linguistic or archaeological possibility into ancestry. Its central public claim is “Origin myths were made to order — divine ancestry, retrofitted for whoever needed legitimacy.” The page has 8 estimated source entries, 2 external links, 1 tables and 0 inline SVGs; source state: visible bibliography plus live links</x:v>
      </x:c>
      <x:c r="I42" s="28" t="n">
        <x:v>8</x:v>
      </x:c>
      <x:c r="J42" s="28" t="n">
        <x:v>2</x:v>
      </x:c>
      <x:c r="K42" s="26" t="str">
        <x:v>Hold</x:v>
      </x:c>
      <x:c r="L42" s="26" t="str">
        <x:v>Critical</x:v>
      </x:c>
      <x:c r="M42" s="26" t="str">
        <x:v>Withhold from MVP until load-bearing claims receive claim-level citations and specialist/editorial review.</x:v>
      </x:c>
      <x:c r="N42" s="26" t="str">
        <x:v>No</x:v>
      </x:c>
      <x:c r="O42" s="28" t="n">
        <x:v>7</x:v>
      </x:c>
    </x:row>
    <x:row r="43" ht="68" customHeight="1">
      <x:c r="A43" s="26" t="str">
        <x:v>paid-in-cattle</x:v>
      </x:c>
      <x:c r="B43" s="26" t="str">
        <x:v>Paid in Cattle: What Vedic Poets Were Given for Hymns</x:v>
      </x:c>
      <x:c r="C43" s="26" t="str">
        <x:v>Poets sold reputation for livestock and itemised the fee in the hymn.</x:v>
      </x:c>
      <x:c r="D43" s="28" t="n">
        <x:v>1272</x:v>
      </x:c>
      <x:c r="E43" s="26" t="str">
        <x:v>research-essay</x:v>
      </x:c>
      <x:c r="F43" s="26" t="str">
        <x:v>Reading Room</x:v>
      </x:c>
      <x:c r="G43" s="26" t="str">
        <x:v>Reading Room</x:v>
      </x:c>
      <x:c r="H43" s="26" t="str">
        <x:v>Potential Reading Room material; its readiness depends on claim-level citations, not prose confidence. Its central public claim is “Poets sold reputation for livestock and itemised the fee in the hymn.” The page has 0 estimated source entries, 0 external links, 5 tables and 0 inline SVGs; source state: no detected source section</x:v>
      </x:c>
      <x:c r="I43" s="28" t="n">
        <x:v>0</x:v>
      </x:c>
      <x:c r="J43" s="28" t="n">
        <x:v>0</x:v>
      </x:c>
      <x:c r="K43" s="26" t="str">
        <x:v>Revise</x:v>
      </x:c>
      <x:c r="L43" s="26" t="str">
        <x:v>Medium</x:v>
      </x:c>
      <x:c r="M43" s="26" t="str">
        <x:v>Add claim-level citations, qualify scope and chronology, expose competing interpretations, and reduce unsupported certainty.</x:v>
      </x:c>
      <x:c r="N43" s="26" t="str">
        <x:v>No</x:v>
      </x:c>
      <x:c r="O43" s="28" t="n">
        <x:v>1</x:v>
      </x:c>
    </x:row>
    <x:row r="44" ht="68" customHeight="1">
      <x:c r="A44" s="26" t="str">
        <x:v>panini</x:v>
      </x:c>
      <x:c r="B44" s="26" t="str">
        <x:v>Panini's Grammar and the Sanskrit It Standardised</x:v>
      </x:c>
      <x:c r="C44" s="26" t="str">
        <x:v>Pāṇini, Tolkāppiyar, and everyone else who was analysing language.</x:v>
      </x:c>
      <x:c r="D44" s="28" t="n">
        <x:v>3015</x:v>
      </x:c>
      <x:c r="E44" s="26" t="str">
        <x:v>formal-system</x:v>
      </x:c>
      <x:c r="F44" s="26" t="str">
        <x:v>Living Signal Field</x:v>
      </x:c>
      <x:c r="G44" s="26" t="str">
        <x:v>Reading Room</x:v>
      </x:c>
      <x:c r="H44" s="26" t="str">
        <x:v>Strong interactive explainer; derivations and technical notation need specialist verification. Its central public claim is “Pāṇini, Tolkāppiyar, and everyone else who was analysing language.” The page has 20 estimated source entries, 0 external links, 7 tables and 0 inline SVGs; source state: substantial bibliography, mostly non-linked</x:v>
      </x:c>
      <x:c r="I44" s="28" t="n">
        <x:v>20</x:v>
      </x:c>
      <x:c r="J44" s="28" t="n">
        <x:v>0</x:v>
      </x:c>
      <x:c r="K44" s="26" t="str">
        <x:v>Split</x:v>
      </x:c>
      <x:c r="L44" s="26" t="str">
        <x:v>Low</x:v>
      </x:c>
      <x:c r="M44" s="26" t="str">
        <x:v>Split the argument or interactive/data layer from the long-form interpretation; preserve one canonical overview.</x:v>
      </x:c>
      <x:c r="N44" s="26" t="str">
        <x:v>No</x:v>
      </x:c>
      <x:c r="O44" s="28" t="n">
        <x:v>1</x:v>
      </x:c>
    </x:row>
    <x:row r="45" ht="68" customHeight="1">
      <x:c r="A45" s="26" t="str">
        <x:v>sacred-ash</x:v>
      </x:c>
      <x:c r="B45" s="26" t="str">
        <x:v>Sacred Ash: Neolithic Cattle Ritual in South India</x:v>
      </x:c>
      <x:c r="C45" s="26" t="str">
        <x:v>The ash on the forehead is older than the god who wears it.</x:v>
      </x:c>
      <x:c r="D45" s="28" t="n">
        <x:v>1132</x:v>
      </x:c>
      <x:c r="E45" s="26" t="str">
        <x:v>practice</x:v>
      </x:c>
      <x:c r="F45" s="26" t="str">
        <x:v>Living Tiṇai</x:v>
      </x:c>
      <x:c r="G45" s="26" t="str">
        <x:v>Reading Room</x:v>
      </x:c>
      <x:c r="H45" s="26" t="str">
        <x:v>Use material, textual, archaeological, and living-practice evidence as distinct layers. Its central public claim is “The ash on the forehead is older than the god who wears it.” The page has 7 estimated source entries, 0 external links, 1 tables and 0 inline SVGs; source state: limited bibliography</x:v>
      </x:c>
      <x:c r="I45" s="28" t="n">
        <x:v>7</x:v>
      </x:c>
      <x:c r="J45" s="28" t="n">
        <x:v>0</x:v>
      </x:c>
      <x:c r="K45" s="26" t="str">
        <x:v>Keep</x:v>
      </x:c>
      <x:c r="L45" s="26" t="str">
        <x:v>Low</x:v>
      </x:c>
      <x:c r="M45" s="26" t="str">
        <x:v>Preserve the core argument; complete citation, image-rights, accessibility, and copy review before publication.</x:v>
      </x:c>
      <x:c r="N45" s="26" t="str">
        <x:v>No</x:v>
      </x:c>
      <x:c r="O45" s="28" t="n">
        <x:v>3</x:v>
      </x:c>
    </x:row>
    <x:row r="46" ht="68" customHeight="1">
      <x:c r="A46" s="26" t="str">
        <x:v>siddha-and-ayurveda</x:v>
      </x:c>
      <x:c r="B46" s="26" t="str">
        <x:v>Siddha and Ayurveda Compared on Their Own Terms</x:v>
      </x:c>
      <x:c r="C46" s="26" t="str">
        <x:v>Two medical traditions, compared on their own terms.</x:v>
      </x:c>
      <x:c r="D46" s="28" t="n">
        <x:v>3507</x:v>
      </x:c>
      <x:c r="E46" s="26" t="str">
        <x:v>comparative-essay</x:v>
      </x:c>
      <x:c r="F46" s="26" t="str">
        <x:v>Living Tiṇai</x:v>
      </x:c>
      <x:c r="G46" s="26" t="str">
        <x:v>Reading Room</x:v>
      </x:c>
      <x:c r="H46" s="26" t="str">
        <x:v>Useful synthesis if unlike evidence systems are not forced into a single verdict. Its central public claim is “Two medical traditions, compared on their own terms.” The page has 28 estimated source entries, 1 external links, 2 tables and 0 inline SVGs; source state: substantial bibliography, mostly non-linked</x:v>
      </x:c>
      <x:c r="I46" s="28" t="n">
        <x:v>28</x:v>
      </x:c>
      <x:c r="J46" s="28" t="n">
        <x:v>1</x:v>
      </x:c>
      <x:c r="K46" s="26" t="str">
        <x:v>Split</x:v>
      </x:c>
      <x:c r="L46" s="26" t="str">
        <x:v>Low</x:v>
      </x:c>
      <x:c r="M46" s="26" t="str">
        <x:v>Split the argument or interactive/data layer from the long-form interpretation; preserve one canonical overview.</x:v>
      </x:c>
      <x:c r="N46" s="26" t="str">
        <x:v>No</x:v>
      </x:c>
      <x:c r="O46" s="28" t="n">
        <x:v>1</x:v>
      </x:c>
    </x:row>
    <x:row r="47" ht="68" customHeight="1">
      <x:c r="A47" s="26" t="str">
        <x:v>sky</x:v>
      </x:c>
      <x:c r="B47" s="26" t="str">
        <x:v>Star Names and Sky Knowledge in Ancient South Asia</x:v>
      </x:c>
      <x:c r="C47" s="26" t="str">
        <x:v>Two skies, one calendar.</x:v>
      </x:c>
      <x:c r="D47" s="28" t="n">
        <x:v>3781</x:v>
      </x:c>
      <x:c r="E47" s="26" t="str">
        <x:v>cosmology</x:v>
      </x:c>
      <x:c r="F47" s="26" t="str">
        <x:v>Nocturnal Veḷi</x:v>
      </x:c>
      <x:c r="G47" s="26" t="str">
        <x:v>Reading Room</x:v>
      </x:c>
      <x:c r="H47" s="26" t="str">
        <x:v>Visually compelling but vulnerable to retrojection and priority claims; separate observation, naming, and later computation. Its central public claim is “Two skies, one calendar.” The page has 14 estimated source entries, 0 external links, 6 tables and 1 inline SVGs; source state: substantial bibliography, mostly non-linked</x:v>
      </x:c>
      <x:c r="I47" s="28" t="n">
        <x:v>14</x:v>
      </x:c>
      <x:c r="J47" s="28" t="n">
        <x:v>0</x:v>
      </x:c>
      <x:c r="K47" s="26" t="str">
        <x:v>Split</x:v>
      </x:c>
      <x:c r="L47" s="26" t="str">
        <x:v>Low</x:v>
      </x:c>
      <x:c r="M47" s="26" t="str">
        <x:v>Split the argument or interactive/data layer from the long-form interpretation; preserve one canonical overview.</x:v>
      </x:c>
      <x:c r="N47" s="26" t="str">
        <x:v>No</x:v>
      </x:c>
      <x:c r="O47" s="28" t="n">
        <x:v>54</x:v>
      </x:c>
    </x:row>
    <x:row r="48" ht="68" customHeight="1">
      <x:c r="A48" s="26" t="str">
        <x:v>sound-changes</x:v>
      </x:c>
      <x:c r="B48" s="26" t="str">
        <x:v>Sound Changes: Dravidian Phonemes Sanskrit Could Not Write</x:v>
      </x:c>
      <x:c r="C48" s="26" t="str">
        <x:v>What the mouth does to a name.</x:v>
      </x:c>
      <x:c r="D48" s="28" t="n">
        <x:v>1898</x:v>
      </x:c>
      <x:c r="E48" s="26" t="str">
        <x:v>comparative-visual</x:v>
      </x:c>
      <x:c r="F48" s="26" t="str">
        <x:v>Living Signal Field</x:v>
      </x:c>
      <x:c r="G48" s="26" t="str">
        <x:v>Reading Room</x:v>
      </x:c>
      <x:c r="H48" s="26" t="str">
        <x:v>Should lead with the visual relationship and make the schematic/measured distinction explicit. Its central public claim is “What the mouth does to a name.” The page has 0 estimated source entries, 0 external links, 3 tables and 0 inline SVGs; source state: no detected source section</x:v>
      </x:c>
      <x:c r="I48" s="28" t="n">
        <x:v>0</x:v>
      </x:c>
      <x:c r="J48" s="28" t="n">
        <x:v>0</x:v>
      </x:c>
      <x:c r="K48" s="26" t="str">
        <x:v>Revise</x:v>
      </x:c>
      <x:c r="L48" s="26" t="str">
        <x:v>Medium</x:v>
      </x:c>
      <x:c r="M48" s="26" t="str">
        <x:v>Add claim-level citations, qualify scope and chronology, expose competing interpretations, and reduce unsupported certainty.</x:v>
      </x:c>
      <x:c r="N48" s="26" t="str">
        <x:v>Yes</x:v>
      </x:c>
      <x:c r="O48" s="28" t="n">
        <x:v>55</x:v>
      </x:c>
    </x:row>
    <x:row r="49" ht="68" customHeight="1">
      <x:c r="A49" s="26" t="str">
        <x:v>steppe</x:v>
      </x:c>
      <x:c r="B49" s="26" t="str">
        <x:v>Steppe Ancestry in South Asia: What the DNA Shows</x:v>
      </x:c>
      <x:c r="C49" s="26" t="str">
        <x:v>The steppe evidence is a set of dated individuals, not a migration route.</x:v>
      </x:c>
      <x:c r="D49" s="28" t="n">
        <x:v>741</x:v>
      </x:c>
      <x:c r="E49" s="26" t="str">
        <x:v>research-essay</x:v>
      </x:c>
      <x:c r="F49" s="26" t="str">
        <x:v>Reading Room</x:v>
      </x:c>
      <x:c r="G49" s="26" t="str">
        <x:v>Reading Room</x:v>
      </x:c>
      <x:c r="H49" s="26" t="str">
        <x:v>Potential Reading Room material; its readiness depends on claim-level citations, not prose confidence. Its central public claim is “The steppe evidence is a set of dated individuals, not a migration route.” The page has 2 estimated source entries, 0 external links, 1 tables and 1 inline SVGs; source state: minimal source section</x:v>
      </x:c>
      <x:c r="I49" s="28" t="n">
        <x:v>2</x:v>
      </x:c>
      <x:c r="J49" s="28" t="n">
        <x:v>0</x:v>
      </x:c>
      <x:c r="K49" s="26" t="str">
        <x:v>Revise</x:v>
      </x:c>
      <x:c r="L49" s="26" t="str">
        <x:v>Medium</x:v>
      </x:c>
      <x:c r="M49" s="26" t="str">
        <x:v>Add claim-level citations, qualify scope and chronology, expose competing interpretations, and reduce unsupported certainty.</x:v>
      </x:c>
      <x:c r="N49" s="26" t="str">
        <x:v>No</x:v>
      </x:c>
      <x:c r="O49" s="28" t="n">
        <x:v>47</x:v>
      </x:c>
    </x:row>
    <x:row r="50" ht="68" customHeight="1">
      <x:c r="A50" s="26" t="str">
        <x:v>the-archive</x:v>
      </x:c>
      <x:c r="B50" s="26" t="str">
        <x:v>The Archive: What Survived, What Was Lost, and Why</x:v>
      </x:c>
      <x:c r="C50" s="26" t="str">
        <x:v>Everything that survives — and how little of it has been opened.</x:v>
      </x:c>
      <x:c r="D50" s="28" t="n">
        <x:v>2052</x:v>
      </x:c>
      <x:c r="E50" s="26" t="str">
        <x:v>collection-investigation</x:v>
      </x:c>
      <x:c r="F50" s="26" t="str">
        <x:v>Extraction / Collection</x:v>
      </x:c>
      <x:c r="G50" s="26" t="str">
        <x:v>Reading Room</x:v>
      </x:c>
      <x:c r="H50" s="26" t="str">
        <x:v>Supports the custody/extraction critique, but every institutional implication must be documented. Its central public claim is “Everything that survives — and how little of it has been opened.” The page has 1 estimated source entries, 0 external links, 5 tables and 1 inline SVGs; source state: minimal source section</x:v>
      </x:c>
      <x:c r="I50" s="28" t="n">
        <x:v>1</x:v>
      </x:c>
      <x:c r="J50" s="28" t="n">
        <x:v>0</x:v>
      </x:c>
      <x:c r="K50" s="26" t="str">
        <x:v>Revise</x:v>
      </x:c>
      <x:c r="L50" s="26" t="str">
        <x:v>Medium</x:v>
      </x:c>
      <x:c r="M50" s="26" t="str">
        <x:v>Add claim-level citations, qualify scope and chronology, expose competing interpretations, and reduce unsupported certainty.</x:v>
      </x:c>
      <x:c r="N50" s="26" t="str">
        <x:v>Yes</x:v>
      </x:c>
      <x:c r="O50" s="28" t="n">
        <x:v>51</x:v>
      </x:c>
    </x:row>
    <x:row r="51" ht="68" customHeight="1">
      <x:c r="A51" s="26" t="str">
        <x:v>the-borrowed-ancestor</x:v>
      </x:c>
      <x:c r="B51" s="26" t="str">
        <x:v>The Borrowed Ancestor: How Local Myths Get Absorbed</x:v>
      </x:c>
      <x:c r="C51" s="26" t="str">
        <x:v>Their own heroes were merged into someone else's story.</x:v>
      </x:c>
      <x:c r="D51" s="28" t="n">
        <x:v>1809</x:v>
      </x:c>
      <x:c r="E51" s="26" t="str">
        <x:v>research-essay</x:v>
      </x:c>
      <x:c r="F51" s="26" t="str">
        <x:v>Reading Room</x:v>
      </x:c>
      <x:c r="G51" s="26" t="str">
        <x:v>Reading Room</x:v>
      </x:c>
      <x:c r="H51" s="26" t="str">
        <x:v>Potential Reading Room material; its readiness depends on claim-level citations, not prose confidence. Its central public claim is “Their own heroes were merged into someone else's story.” The page has 16 estimated source entries, 2 external links, 0 tables and 0 inline SVGs; source state: visible bibliography plus live links</x:v>
      </x:c>
      <x:c r="I51" s="28" t="n">
        <x:v>16</x:v>
      </x:c>
      <x:c r="J51" s="28" t="n">
        <x:v>2</x:v>
      </x:c>
      <x:c r="K51" s="26" t="str">
        <x:v>Hold</x:v>
      </x:c>
      <x:c r="L51" s="26" t="str">
        <x:v>Critical</x:v>
      </x:c>
      <x:c r="M51" s="26" t="str">
        <x:v>Withhold from MVP until load-bearing claims receive claim-level citations and specialist/editorial review.</x:v>
      </x:c>
      <x:c r="N51" s="26" t="str">
        <x:v>No</x:v>
      </x:c>
      <x:c r="O51" s="28" t="n">
        <x:v>14</x:v>
      </x:c>
    </x:row>
    <x:row r="52" ht="68" customHeight="1">
      <x:c r="A52" s="26" t="str">
        <x:v>the-computed-dawn</x:v>
      </x:c>
      <x:c r="B52" s="26" t="str">
        <x:v>Aryabhata and the Kali Yuga Date That Was Calculated</x:v>
      </x:c>
      <x:c r="C52" s="26" t="str">
        <x:v>The moment the world "aged into darkness" was never observed. It was calculated backward.</x:v>
      </x:c>
      <x:c r="D52" s="28" t="n">
        <x:v>1248</x:v>
      </x:c>
      <x:c r="E52" s="26" t="str">
        <x:v>cosmology</x:v>
      </x:c>
      <x:c r="F52" s="26" t="str">
        <x:v>Nocturnal Veḷi</x:v>
      </x:c>
      <x:c r="G52" s="26" t="str">
        <x:v>Reading Room</x:v>
      </x:c>
      <x:c r="H52" s="26" t="str">
        <x:v>Visually compelling but vulnerable to retrojection and priority claims; separate observation, naming, and later computation. Its central public claim is “The moment the world "aged into darkness" was never observed. It was calculated backward.” The page has 16 estimated source entries, 3 external links, 1 tables and 0 inline SVGs; source state: visible bibliography plus live links</x:v>
      </x:c>
      <x:c r="I52" s="28" t="n">
        <x:v>16</x:v>
      </x:c>
      <x:c r="J52" s="28" t="n">
        <x:v>3</x:v>
      </x:c>
      <x:c r="K52" s="26" t="str">
        <x:v>Merge</x:v>
      </x:c>
      <x:c r="L52" s="26" t="str">
        <x:v>Medium</x:v>
      </x:c>
      <x:c r="M52" s="26" t="str">
        <x:v>Merge into `kali-yuga`; preserve unique evidence and redirect this URL.</x:v>
      </x:c>
      <x:c r="N52" s="26" t="str">
        <x:v>No</x:v>
      </x:c>
      <x:c r="O52" s="28" t="n">
        <x:v>5</x:v>
      </x:c>
    </x:row>
    <x:row r="53" ht="68" customHeight="1">
      <x:c r="A53" s="26" t="str">
        <x:v>the-curve</x:v>
      </x:c>
      <x:c r="B53" s="26" t="str">
        <x:v>The Caste Vocabulary Curve Across the Vedic Corpus</x:v>
      </x:c>
      <x:c r="C53" s="26" t="str">
        <x:v>Caste was built, and the build is visible in the vocabulary.</x:v>
      </x:c>
      <x:c r="D53" s="28" t="n">
        <x:v>4126</x:v>
      </x:c>
      <x:c r="E53" s="26" t="str">
        <x:v>relational-analysis</x:v>
      </x:c>
      <x:c r="F53" s="26" t="str">
        <x:v>Living Signal Field</x:v>
      </x:c>
      <x:c r="G53" s="26" t="str">
        <x:v>Reading Room</x:v>
      </x:c>
      <x:c r="H53" s="26" t="str">
        <x:v>Well suited to interactive comparison if the underlying corpus/data and categories are exposed. Its central public claim is “Caste was built, and the build is visible in the vocabulary.” The page has 8 estimated source entries, 0 external links, 8 tables and 6 inline SVGs; source state: substantial bibliography, mostly non-linked</x:v>
      </x:c>
      <x:c r="I53" s="28" t="n">
        <x:v>8</x:v>
      </x:c>
      <x:c r="J53" s="28" t="n">
        <x:v>0</x:v>
      </x:c>
      <x:c r="K53" s="26" t="str">
        <x:v>Split</x:v>
      </x:c>
      <x:c r="L53" s="26" t="str">
        <x:v>Low</x:v>
      </x:c>
      <x:c r="M53" s="26" t="str">
        <x:v>Split the argument or interactive/data layer from the long-form interpretation; preserve one canonical overview.</x:v>
      </x:c>
      <x:c r="N53" s="26" t="str">
        <x:v>No</x:v>
      </x:c>
      <x:c r="O53" s="28" t="n">
        <x:v>54</x:v>
      </x:c>
    </x:row>
    <x:row r="54" ht="68" customHeight="1">
      <x:c r="A54" s="26" t="str">
        <x:v>the-deep-root</x:v>
      </x:c>
      <x:c r="B54" s="26" t="str">
        <x:v>Elamo-Dravidian: Testing a Deep Language Connection</x:v>
      </x:c>
      <x:c r="C54" s="26" t="str">
        <x:v>The deep root of Dravidian points west — and four sciences agree.</x:v>
      </x:c>
      <x:c r="D54" s="28" t="n">
        <x:v>1233</x:v>
      </x:c>
      <x:c r="E54" s="26" t="str">
        <x:v>deep-history</x:v>
      </x:c>
      <x:c r="F54" s="26" t="str">
        <x:v>Nocturnal Veḷi</x:v>
      </x:c>
      <x:c r="G54" s="26" t="str">
        <x:v>Reading Room</x:v>
      </x:c>
      <x:c r="H54" s="26" t="str">
        <x:v>Should foreground uncertainty and avoid converting linguistic or archaeological possibility into ancestry. Its central public claim is “The deep root of Dravidian points west — and four sciences agree.” The page has 10 estimated source entries, 0 external links, 2 tables and 0 inline SVGs; source state: substantial bibliography, mostly non-linked</x:v>
      </x:c>
      <x:c r="I54" s="28" t="n">
        <x:v>10</x:v>
      </x:c>
      <x:c r="J54" s="28" t="n">
        <x:v>0</x:v>
      </x:c>
      <x:c r="K54" s="26" t="str">
        <x:v>Keep</x:v>
      </x:c>
      <x:c r="L54" s="26" t="str">
        <x:v>Low</x:v>
      </x:c>
      <x:c r="M54" s="26" t="str">
        <x:v>Preserve the core argument; complete citation, image-rights, accessibility, and copy review before publication.</x:v>
      </x:c>
      <x:c r="N54" s="26" t="str">
        <x:v>No</x:v>
      </x:c>
      <x:c r="O54" s="28" t="n">
        <x:v>9</x:v>
      </x:c>
    </x:row>
    <x:row r="55" ht="68" customHeight="1">
      <x:c r="A55" s="26" t="str">
        <x:v>the-eastern-tradition</x:v>
      </x:c>
      <x:c r="B55" s="26" t="str">
        <x:v>Greater Magadha: Sramana Traditions Were Not Vedic Reform</x:v>
      </x:c>
      <x:c r="C55" s="26" t="str">
        <x:v>The Buddha and Mahāvīra were not reforming Hinduism. They were speaking from a different world.</x:v>
      </x:c>
      <x:c r="D55" s="28" t="n">
        <x:v>1232</x:v>
      </x:c>
      <x:c r="E55" s="26" t="str">
        <x:v>research-essay</x:v>
      </x:c>
      <x:c r="F55" s="26" t="str">
        <x:v>Reading Room</x:v>
      </x:c>
      <x:c r="G55" s="26" t="str">
        <x:v>Reading Room</x:v>
      </x:c>
      <x:c r="H55" s="26" t="str">
        <x:v>Potential Reading Room material; its readiness depends on claim-level citations, not prose confidence. Its central public claim is “The Buddha and Mahāvīra were not reforming Hinduism. They were speaking from a different world.” The page has 5 estimated source entries, 0 external links, 1 tables and 0 inline SVGs; source state: limited bibliography</x:v>
      </x:c>
      <x:c r="I55" s="28" t="n">
        <x:v>5</x:v>
      </x:c>
      <x:c r="J55" s="28" t="n">
        <x:v>0</x:v>
      </x:c>
      <x:c r="K55" s="26" t="str">
        <x:v>Keep</x:v>
      </x:c>
      <x:c r="L55" s="26" t="str">
        <x:v>Low</x:v>
      </x:c>
      <x:c r="M55" s="26" t="str">
        <x:v>Preserve the core argument; complete citation, image-rights, accessibility, and copy review before publication.</x:v>
      </x:c>
      <x:c r="N55" s="26" t="str">
        <x:v>No</x:v>
      </x:c>
      <x:c r="O55" s="28" t="n">
        <x:v>19</x:v>
      </x:c>
    </x:row>
    <x:row r="56" ht="68" customHeight="1">
      <x:c r="A56" s="26" t="str">
        <x:v>the-edits</x:v>
      </x:c>
      <x:c r="B56" s="26" t="str">
        <x:v>The Edits: Later Insertions in the Vedic Corpus</x:v>
      </x:c>
      <x:c r="C56" s="26" t="str">
        <x:v>Sixteen places where the record was adjusted.</x:v>
      </x:c>
      <x:c r="D56" s="28" t="n">
        <x:v>1262</x:v>
      </x:c>
      <x:c r="E56" s="26" t="str">
        <x:v>institutional-critique</x:v>
      </x:c>
      <x:c r="F56" s="26" t="str">
        <x:v>Extraction / Collection</x:v>
      </x:c>
      <x:c r="G56" s="26" t="str">
        <x:v>Reading Room</x:v>
      </x:c>
      <x:c r="H56" s="26" t="str">
        <x:v>Potentially important critical interpretation; needs especially transparent sourcing and right-of-reply discipline. Its central public claim is “Sixteen places where the record was adjusted.” The page has 11 estimated source entries, 0 external links, 1 tables and 0 inline SVGs; source state: substantial bibliography, mostly non-linked</x:v>
      </x:c>
      <x:c r="I56" s="28" t="n">
        <x:v>11</x:v>
      </x:c>
      <x:c r="J56" s="28" t="n">
        <x:v>0</x:v>
      </x:c>
      <x:c r="K56" s="26" t="str">
        <x:v>Keep</x:v>
      </x:c>
      <x:c r="L56" s="26" t="str">
        <x:v>Low</x:v>
      </x:c>
      <x:c r="M56" s="26" t="str">
        <x:v>Preserve the core argument; complete citation, image-rights, accessibility, and copy review before publication.</x:v>
      </x:c>
      <x:c r="N56" s="26" t="str">
        <x:v>No</x:v>
      </x:c>
      <x:c r="O56" s="28" t="n">
        <x:v>1</x:v>
      </x:c>
    </x:row>
    <x:row r="57" ht="68" customHeight="1">
      <x:c r="A57" s="26" t="str">
        <x:v>the-firms</x:v>
      </x:c>
      <x:c r="B57" s="26" t="str">
        <x:v>The Ritual Economy: Immortality Bought and Sold</x:v>
      </x:c>
      <x:c r="C57" s="26" t="str">
        <x:v>One party bought immortality. The other party got it.</x:v>
      </x:c>
      <x:c r="D57" s="28" t="n">
        <x:v>2191</x:v>
      </x:c>
      <x:c r="E57" s="26" t="str">
        <x:v>institutional-critique</x:v>
      </x:c>
      <x:c r="F57" s="26" t="str">
        <x:v>Extraction / Collection</x:v>
      </x:c>
      <x:c r="G57" s="26" t="str">
        <x:v>Reading Room</x:v>
      </x:c>
      <x:c r="H57" s="26" t="str">
        <x:v>Potentially important critical interpretation; needs especially transparent sourcing and right-of-reply discipline. Its central public claim is “One party bought immortality. The other party got it.” The page has 0 estimated source entries, 0 external links, 4 tables and 0 inline SVGs; source state: no detected source section</x:v>
      </x:c>
      <x:c r="I57" s="28" t="n">
        <x:v>0</x:v>
      </x:c>
      <x:c r="J57" s="28" t="n">
        <x:v>0</x:v>
      </x:c>
      <x:c r="K57" s="26" t="str">
        <x:v>Hold</x:v>
      </x:c>
      <x:c r="L57" s="26" t="str">
        <x:v>Critical</x:v>
      </x:c>
      <x:c r="M57" s="26" t="str">
        <x:v>Withhold from MVP until load-bearing claims receive claim-level citations and specialist/editorial review.</x:v>
      </x:c>
      <x:c r="N57" s="26" t="str">
        <x:v>No</x:v>
      </x:c>
      <x:c r="O57" s="28" t="n">
        <x:v>54</x:v>
      </x:c>
    </x:row>
    <x:row r="58" ht="68" customHeight="1">
      <x:c r="A58" s="26" t="str">
        <x:v>the-forest</x:v>
      </x:c>
      <x:c r="B58" s="26" t="str">
        <x:v>Forest Peoples in the Sanskrit Record</x:v>
      </x:c>
      <x:c r="C58" s="26" t="str">
        <x:v>Āraṇya “the elsewhere”</x:v>
      </x:c>
      <x:c r="D58" s="28" t="n">
        <x:v>1678</x:v>
      </x:c>
      <x:c r="E58" s="26" t="str">
        <x:v>ecology</x:v>
      </x:c>
      <x:c r="F58" s="26" t="str">
        <x:v>Living Tiṇai</x:v>
      </x:c>
      <x:c r="G58" s="26" t="str">
        <x:v>Reading Room</x:v>
      </x:c>
      <x:c r="H58" s="26" t="str">
        <x:v>A natural Living Tiṇai page if communities and landscapes are not reduced to illustrations. Its central public claim is “Āraṇya “the elsewhere”” The page has 9 estimated source entries, 0 external links, 2 tables and 0 inline SVGs; source state: substantial bibliography, mostly non-linked</x:v>
      </x:c>
      <x:c r="I58" s="28" t="n">
        <x:v>9</x:v>
      </x:c>
      <x:c r="J58" s="28" t="n">
        <x:v>0</x:v>
      </x:c>
      <x:c r="K58" s="26" t="str">
        <x:v>Keep</x:v>
      </x:c>
      <x:c r="L58" s="26" t="str">
        <x:v>Low</x:v>
      </x:c>
      <x:c r="M58" s="26" t="str">
        <x:v>Preserve the core argument; complete citation, image-rights, accessibility, and copy review before publication.</x:v>
      </x:c>
      <x:c r="N58" s="26" t="str">
        <x:v>No</x:v>
      </x:c>
      <x:c r="O58" s="28" t="n">
        <x:v>2</x:v>
      </x:c>
    </x:row>
    <x:row r="59" ht="68" customHeight="1">
      <x:c r="A59" s="26" t="str">
        <x:v>the-forts</x:v>
      </x:c>
      <x:c r="B59" s="26" t="str">
        <x:v>The Dasa Forts: Indus Country, But Centuries Too Late</x:v>
      </x:c>
      <x:c r="C59" s="26" t="str">
        <x:v>Ninety-nine forts, in Indus country, three centuries too late.</x:v>
      </x:c>
      <x:c r="D59" s="28" t="n">
        <x:v>2748</x:v>
      </x:c>
      <x:c r="E59" s="26" t="str">
        <x:v>research-essay</x:v>
      </x:c>
      <x:c r="F59" s="26" t="str">
        <x:v>Reading Room</x:v>
      </x:c>
      <x:c r="G59" s="26" t="str">
        <x:v>Reading Room</x:v>
      </x:c>
      <x:c r="H59" s="26" t="str">
        <x:v>Potential Reading Room material; its readiness depends on claim-level citations, not prose confidence. Its central public claim is “Ninety-nine forts, in Indus country, three centuries too late.” The page has 1 estimated source entries, 0 external links, 3 tables and 1 inline SVGs; source state: minimal source section</x:v>
      </x:c>
      <x:c r="I59" s="28" t="n">
        <x:v>1</x:v>
      </x:c>
      <x:c r="J59" s="28" t="n">
        <x:v>0</x:v>
      </x:c>
      <x:c r="K59" s="26" t="str">
        <x:v>Split</x:v>
      </x:c>
      <x:c r="L59" s="26" t="str">
        <x:v>Medium</x:v>
      </x:c>
      <x:c r="M59" s="26" t="str">
        <x:v>Split the argument or interactive/data layer from the long-form interpretation; preserve one canonical overview.</x:v>
      </x:c>
      <x:c r="N59" s="26" t="str">
        <x:v>No</x:v>
      </x:c>
      <x:c r="O59" s="28" t="n">
        <x:v>3</x:v>
      </x:c>
    </x:row>
    <x:row r="60" ht="68" customHeight="1">
      <x:c r="A60" s="26" t="str">
        <x:v>the-gap</x:v>
      </x:c>
      <x:c r="B60" s="26" t="str">
        <x:v>The Gap Between the Indus and the Vedic Texts</x:v>
      </x:c>
      <x:c r="C60" s="26" t="str">
        <x:v>Greek writing survives for 250 years and produces no literature. Then it stops for four centuries.</x:v>
      </x:c>
      <x:c r="D60" s="28" t="n">
        <x:v>1297</x:v>
      </x:c>
      <x:c r="E60" s="26" t="str">
        <x:v>deep-history</x:v>
      </x:c>
      <x:c r="F60" s="26" t="str">
        <x:v>Nocturnal Veḷi</x:v>
      </x:c>
      <x:c r="G60" s="26" t="str">
        <x:v>Reading Room</x:v>
      </x:c>
      <x:c r="H60" s="26" t="str">
        <x:v>Should foreground uncertainty and avoid converting linguistic or archaeological possibility into ancestry. Its central public claim is “Greek writing survives for 250 years and produces no literature. Then it stops for four centuries.” The page has 7 estimated source entries, 0 external links, 3 tables and 0 inline SVGs; source state: limited bibliography</x:v>
      </x:c>
      <x:c r="I60" s="28" t="n">
        <x:v>7</x:v>
      </x:c>
      <x:c r="J60" s="28" t="n">
        <x:v>0</x:v>
      </x:c>
      <x:c r="K60" s="26" t="str">
        <x:v>Keep</x:v>
      </x:c>
      <x:c r="L60" s="26" t="str">
        <x:v>Medium</x:v>
      </x:c>
      <x:c r="M60" s="26" t="str">
        <x:v>Preserve the core argument; complete citation, image-rights, accessibility, and copy review before publication.</x:v>
      </x:c>
      <x:c r="N60" s="26" t="str">
        <x:v>No</x:v>
      </x:c>
      <x:c r="O60" s="28" t="n">
        <x:v>1</x:v>
      </x:c>
    </x:row>
    <x:row r="61" ht="68" customHeight="1">
      <x:c r="A61" s="26" t="str">
        <x:v>the-genome-of-caste</x:v>
      </x:c>
      <x:c r="B61" s="26" t="str">
        <x:v>Caste in the Genome: Gotra, Endogamy and Sex Difference</x:v>
      </x:c>
      <x:c r="C61" s="26" t="str">
        <x:v>Caste is written in the genome — and the two sexes are written differently.</x:v>
      </x:c>
      <x:c r="D61" s="28" t="n">
        <x:v>1410</x:v>
      </x:c>
      <x:c r="E61" s="26" t="str">
        <x:v>relational-analysis</x:v>
      </x:c>
      <x:c r="F61" s="26" t="str">
        <x:v>Living Signal Field</x:v>
      </x:c>
      <x:c r="G61" s="26" t="str">
        <x:v>Reading Room</x:v>
      </x:c>
      <x:c r="H61" s="26" t="str">
        <x:v>Well suited to interactive comparison if the underlying corpus/data and categories are exposed. Its central public claim is “Caste is written in the genome — and the two sexes are written differently.” The page has 22 estimated source entries, 3 external links, 1 tables and 0 inline SVGs; source state: visible bibliography plus live links</x:v>
      </x:c>
      <x:c r="I61" s="28" t="n">
        <x:v>22</x:v>
      </x:c>
      <x:c r="J61" s="28" t="n">
        <x:v>3</x:v>
      </x:c>
      <x:c r="K61" s="26" t="str">
        <x:v>Keep</x:v>
      </x:c>
      <x:c r="L61" s="26" t="str">
        <x:v>Low</x:v>
      </x:c>
      <x:c r="M61" s="26" t="str">
        <x:v>Preserve the core argument; complete citation, image-rights, accessibility, and copy review before publication.</x:v>
      </x:c>
      <x:c r="N61" s="26" t="str">
        <x:v>No</x:v>
      </x:c>
      <x:c r="O61" s="28" t="n">
        <x:v>11</x:v>
      </x:c>
    </x:row>
    <x:row r="62" ht="68" customHeight="1">
      <x:c r="A62" s="26" t="str">
        <x:v>the-insertions</x:v>
      </x:c>
      <x:c r="B62" s="26" t="str">
        <x:v>Interpolations: Passages Added to the Vedic Corpus</x:v>
      </x:c>
      <x:c r="C62" s="26" t="str">
        <x:v>A war story, with a law code bolted on.</x:v>
      </x:c>
      <x:c r="D62" s="28" t="n">
        <x:v>1220</x:v>
      </x:c>
      <x:c r="E62" s="26" t="str">
        <x:v>research-essay</x:v>
      </x:c>
      <x:c r="F62" s="26" t="str">
        <x:v>Reading Room</x:v>
      </x:c>
      <x:c r="G62" s="26" t="str">
        <x:v>Reading Room</x:v>
      </x:c>
      <x:c r="H62" s="26" t="str">
        <x:v>Potential Reading Room material; its readiness depends on claim-level citations, not prose confidence. Its central public claim is “A war story, with a law code bolted on.” The page has 7 estimated source entries, 0 external links, 5 tables and 0 inline SVGs; source state: limited bibliography</x:v>
      </x:c>
      <x:c r="I62" s="28" t="n">
        <x:v>7</x:v>
      </x:c>
      <x:c r="J62" s="28" t="n">
        <x:v>0</x:v>
      </x:c>
      <x:c r="K62" s="26" t="str">
        <x:v>Merge</x:v>
      </x:c>
      <x:c r="L62" s="26" t="str">
        <x:v>Low</x:v>
      </x:c>
      <x:c r="M62" s="26" t="str">
        <x:v>Merge into `the-edits`; preserve unique evidence and redirect this URL.</x:v>
      </x:c>
      <x:c r="N62" s="26" t="str">
        <x:v>No</x:v>
      </x:c>
      <x:c r="O62" s="28" t="n">
        <x:v>1</x:v>
      </x:c>
    </x:row>
    <x:row r="63" ht="68" customHeight="1">
      <x:c r="A63" s="26" t="str">
        <x:v>the-killed</x:v>
      </x:c>
      <x:c r="B63" s="26" t="str">
        <x:v>The Named Enemies of the Rigveda and Who Was Paid</x:v>
      </x:c>
      <x:c r="C63" s="26" t="str">
        <x:v>The named enemies hold forts, grain, wives and sons — and the hymns celebrate killing them for pay.</x:v>
      </x:c>
      <x:c r="D63" s="28" t="n">
        <x:v>1399</x:v>
      </x:c>
      <x:c r="E63" s="26" t="str">
        <x:v>social-history</x:v>
      </x:c>
      <x:c r="F63" s="26" t="str">
        <x:v>Tamil Retrofuture</x:v>
      </x:c>
      <x:c r="G63" s="26" t="str">
        <x:v>Reading Room</x:v>
      </x:c>
      <x:c r="H63" s="26" t="str">
        <x:v>High public value but high reputational risk when chronology, agency, or causation is stated categorically. Its central public claim is “The named enemies hold forts, grain, wives and sons — and the hymns celebrate killing them for pay.” The page has 0 estimated source entries, 0 external links, 3 tables and 1 inline SVGs; source state: no detected source section</x:v>
      </x:c>
      <x:c r="I63" s="28" t="n">
        <x:v>0</x:v>
      </x:c>
      <x:c r="J63" s="28" t="n">
        <x:v>0</x:v>
      </x:c>
      <x:c r="K63" s="26" t="str">
        <x:v>Hold</x:v>
      </x:c>
      <x:c r="L63" s="26" t="str">
        <x:v>Critical</x:v>
      </x:c>
      <x:c r="M63" s="26" t="str">
        <x:v>Withhold from MVP until load-bearing claims receive claim-level citations and specialist/editorial review.</x:v>
      </x:c>
      <x:c r="N63" s="26" t="str">
        <x:v>No</x:v>
      </x:c>
      <x:c r="O63" s="28" t="n">
        <x:v>9</x:v>
      </x:c>
    </x:row>
    <x:row r="64" ht="68" customHeight="1">
      <x:c r="A64" s="26" t="str">
        <x:v>the-king-they-claimed</x:v>
      </x:c>
      <x:c r="B64" s="26" t="str">
        <x:v>The King They Claimed: Suheldev and the Rajbhars</x:v>
      </x:c>
      <x:c r="C64" s="26" t="str">
        <x:v>They built a party around their own forgotten king. Then others claimed him.</x:v>
      </x:c>
      <x:c r="D64" s="28" t="n">
        <x:v>1356</x:v>
      </x:c>
      <x:c r="E64" s="26" t="str">
        <x:v>research-essay</x:v>
      </x:c>
      <x:c r="F64" s="26" t="str">
        <x:v>Reading Room</x:v>
      </x:c>
      <x:c r="G64" s="26" t="str">
        <x:v>Reading Room</x:v>
      </x:c>
      <x:c r="H64" s="26" t="str">
        <x:v>Potential Reading Room material; its readiness depends on claim-level citations, not prose confidence. Its central public claim is “They built a party around their own forgotten king. Then others claimed him.” The page has 7 estimated source entries, 0 external links, 1 tables and 0 inline SVGs; source state: limited bibliography</x:v>
      </x:c>
      <x:c r="I64" s="28" t="n">
        <x:v>7</x:v>
      </x:c>
      <x:c r="J64" s="28" t="n">
        <x:v>0</x:v>
      </x:c>
      <x:c r="K64" s="26" t="str">
        <x:v>Hold</x:v>
      </x:c>
      <x:c r="L64" s="26" t="str">
        <x:v>Critical</x:v>
      </x:c>
      <x:c r="M64" s="26" t="str">
        <x:v>Withhold from MVP until load-bearing claims receive claim-level citations and specialist/editorial review.</x:v>
      </x:c>
      <x:c r="N64" s="26" t="str">
        <x:v>No</x:v>
      </x:c>
      <x:c r="O64" s="28" t="n">
        <x:v>3</x:v>
      </x:c>
    </x:row>
    <x:row r="65" ht="68" customHeight="1">
      <x:c r="A65" s="26" t="str">
        <x:v>the-land</x:v>
      </x:c>
      <x:c r="B65" s="26" t="str">
        <x:v>The Land in the Rigveda: Rivers, Regions and Geography</x:v>
      </x:c>
      <x:c r="C65" s="26" t="str">
        <x:v>Status was contingent on real estate.</x:v>
      </x:c>
      <x:c r="D65" s="28" t="n">
        <x:v>1401</x:v>
      </x:c>
      <x:c r="E65" s="26" t="str">
        <x:v>ecology-or-material</x:v>
      </x:c>
      <x:c r="F65" s="26" t="str">
        <x:v>Living Tiṇai</x:v>
      </x:c>
      <x:c r="G65" s="26" t="str">
        <x:v>Reading Room</x:v>
      </x:c>
      <x:c r="H65" s="26" t="str">
        <x:v>Connect material practice to environmental setting and present knowledge without asserting continuity by resemblance. Its central public claim is “Status was contingent on real estate.” The page has 18 estimated source entries, 0 external links, 2 tables and 4 inline SVGs; source state: substantial bibliography, mostly non-linked</x:v>
      </x:c>
      <x:c r="I65" s="28" t="n">
        <x:v>18</x:v>
      </x:c>
      <x:c r="J65" s="28" t="n">
        <x:v>0</x:v>
      </x:c>
      <x:c r="K65" s="26" t="str">
        <x:v>Keep</x:v>
      </x:c>
      <x:c r="L65" s="26" t="str">
        <x:v>Low</x:v>
      </x:c>
      <x:c r="M65" s="26" t="str">
        <x:v>Preserve the core argument; complete citation, image-rights, accessibility, and copy review before publication.</x:v>
      </x:c>
      <x:c r="N65" s="26" t="str">
        <x:v>No</x:v>
      </x:c>
      <x:c r="O65" s="28" t="n">
        <x:v>53</x:v>
      </x:c>
    </x:row>
    <x:row r="66" ht="68" customHeight="1">
      <x:c r="A66" s="26" t="str">
        <x:v>the-languages-we-lost</x:v>
      </x:c>
      <x:c r="B66" s="26" t="str">
        <x:v>Language Isolates of South Asia: Burushaski, Kusunda, Nihali</x:v>
      </x:c>
      <x:c r="C66" s="26" t="str">
        <x:v>Four languages still speak, and no one knows their relatives.</x:v>
      </x:c>
      <x:c r="D66" s="28" t="n">
        <x:v>1035</x:v>
      </x:c>
      <x:c r="E66" s="26" t="str">
        <x:v>language</x:v>
      </x:c>
      <x:c r="F66" s="26" t="str">
        <x:v>Nocturnal Veḷi</x:v>
      </x:c>
      <x:c r="G66" s="26" t="str">
        <x:v>Reading Room</x:v>
      </x:c>
      <x:c r="H66" s="26" t="str">
        <x:v>Best framed around established correspondences, competing hypotheses, and clearly bounded unknowns. Its central public claim is “Four languages still speak, and no one knows their relatives.” The page has 9 estimated source entries, 0 external links, 1 tables and 0 inline SVGs; source state: substantial bibliography, mostly non-linked</x:v>
      </x:c>
      <x:c r="I66" s="28" t="n">
        <x:v>9</x:v>
      </x:c>
      <x:c r="J66" s="28" t="n">
        <x:v>0</x:v>
      </x:c>
      <x:c r="K66" s="26" t="str">
        <x:v>Keep</x:v>
      </x:c>
      <x:c r="L66" s="26" t="str">
        <x:v>Low</x:v>
      </x:c>
      <x:c r="M66" s="26" t="str">
        <x:v>Preserve the core argument; complete citation, image-rights, accessibility, and copy review before publication.</x:v>
      </x:c>
      <x:c r="N66" s="26" t="str">
        <x:v>Yes</x:v>
      </x:c>
      <x:c r="O66" s="28" t="n">
        <x:v>4</x:v>
      </x:c>
    </x:row>
    <x:row r="67" ht="68" customHeight="1">
      <x:c r="A67" s="26" t="str">
        <x:v>the-late-hymn</x:v>
      </x:c>
      <x:c r="B67" s="26" t="str">
        <x:v>Purusha Sukta: The Caste Hymn Was Added Late</x:v>
      </x:c>
      <x:c r="C67" s="26" t="str">
        <x:v>The whole hierarchy enters in one late hymn.</x:v>
      </x:c>
      <x:c r="D67" s="28" t="n">
        <x:v>1212</x:v>
      </x:c>
      <x:c r="E67" s="26" t="str">
        <x:v>research-essay</x:v>
      </x:c>
      <x:c r="F67" s="26" t="str">
        <x:v>Reading Room</x:v>
      </x:c>
      <x:c r="G67" s="26" t="str">
        <x:v>Reading Room</x:v>
      </x:c>
      <x:c r="H67" s="26" t="str">
        <x:v>Potential Reading Room material; its readiness depends on claim-level citations, not prose confidence. Its central public claim is “The whole hierarchy enters in one late hymn.” The page has 13 estimated source entries, 0 external links, 1 tables and 0 inline SVGs; source state: substantial bibliography, mostly non-linked</x:v>
      </x:c>
      <x:c r="I67" s="28" t="n">
        <x:v>13</x:v>
      </x:c>
      <x:c r="J67" s="28" t="n">
        <x:v>0</x:v>
      </x:c>
      <x:c r="K67" s="26" t="str">
        <x:v>Keep</x:v>
      </x:c>
      <x:c r="L67" s="26" t="str">
        <x:v>Low</x:v>
      </x:c>
      <x:c r="M67" s="26" t="str">
        <x:v>Preserve the core argument; complete citation, image-rights, accessibility, and copy review before publication.</x:v>
      </x:c>
      <x:c r="N67" s="26" t="str">
        <x:v>No</x:v>
      </x:c>
      <x:c r="O67" s="28" t="n">
        <x:v>12</x:v>
      </x:c>
    </x:row>
    <x:row r="68" ht="68" customHeight="1">
      <x:c r="A68" s="26" t="str">
        <x:v>the-later-count</x:v>
      </x:c>
      <x:c r="B68" s="26" t="str">
        <x:v>Counting Varna in the Taittiriya Samhita: A Thin Record</x:v>
      </x:c>
      <x:c r="C68" s="26" t="str">
        <x:v>Even in the later Vedic corpus, the four castes are thin, ritual, and rare.</x:v>
      </x:c>
      <x:c r="D68" s="28" t="n">
        <x:v>912</x:v>
      </x:c>
      <x:c r="E68" s="26" t="str">
        <x:v>research-essay</x:v>
      </x:c>
      <x:c r="F68" s="26" t="str">
        <x:v>Reading Room</x:v>
      </x:c>
      <x:c r="G68" s="26" t="str">
        <x:v>Reading Room</x:v>
      </x:c>
      <x:c r="H68" s="26" t="str">
        <x:v>Potential Reading Room material; its readiness depends on claim-level citations, not prose confidence. Its central public claim is “Even in the later Vedic corpus, the four castes are thin, ritual, and rare.” The page has 8 estimated source entries, 0 external links, 1 tables and 0 inline SVGs; source state: substantial bibliography, mostly non-linked</x:v>
      </x:c>
      <x:c r="I68" s="28" t="n">
        <x:v>8</x:v>
      </x:c>
      <x:c r="J68" s="28" t="n">
        <x:v>0</x:v>
      </x:c>
      <x:c r="K68" s="26" t="str">
        <x:v>Keep</x:v>
      </x:c>
      <x:c r="L68" s="26" t="str">
        <x:v>Low</x:v>
      </x:c>
      <x:c r="M68" s="26" t="str">
        <x:v>Preserve the core argument; complete citation, image-rights, accessibility, and copy review before publication.</x:v>
      </x:c>
      <x:c r="N68" s="26" t="str">
        <x:v>No</x:v>
      </x:c>
      <x:c r="O68" s="28" t="n">
        <x:v>2</x:v>
      </x:c>
    </x:row>
    <x:row r="69" ht="68" customHeight="1">
      <x:c r="A69" s="26" t="str">
        <x:v>the-ledger</x:v>
      </x:c>
      <x:c r="B69" s="26" t="str">
        <x:v>The Source Ledger: Ranking Evidence and Checking Scholars</x:v>
      </x:c>
      <x:c r="C69" s="26" t="str">
        <x:v>The Ledger.</x:v>
      </x:c>
      <x:c r="D69" s="28" t="n">
        <x:v>948</x:v>
      </x:c>
      <x:c r="E69" s="26" t="str">
        <x:v>research-essay</x:v>
      </x:c>
      <x:c r="F69" s="26" t="str">
        <x:v>Reading Room</x:v>
      </x:c>
      <x:c r="G69" s="26" t="str">
        <x:v>Reading Room</x:v>
      </x:c>
      <x:c r="H69" s="26" t="str">
        <x:v>Potential Reading Room material; its readiness depends on claim-level citations, not prose confidence. Its central public claim is “The Ledger.” The page has 26 estimated source entries, 0 external links, 0 tables and 0 inline SVGs; source state: substantial bibliography, mostly non-linked</x:v>
      </x:c>
      <x:c r="I69" s="28" t="n">
        <x:v>26</x:v>
      </x:c>
      <x:c r="J69" s="28" t="n">
        <x:v>0</x:v>
      </x:c>
      <x:c r="K69" s="26" t="str">
        <x:v>Keep</x:v>
      </x:c>
      <x:c r="L69" s="26" t="str">
        <x:v>Low</x:v>
      </x:c>
      <x:c r="M69" s="26" t="str">
        <x:v>Preserve the core argument; complete citation, image-rights, accessibility, and copy review before publication.</x:v>
      </x:c>
      <x:c r="N69" s="26" t="str">
        <x:v>Yes</x:v>
      </x:c>
      <x:c r="O69" s="28" t="n">
        <x:v>10</x:v>
      </x:c>
    </x:row>
    <x:row r="70" ht="68" customHeight="1">
      <x:c r="A70" s="26" t="str">
        <x:v>the-map-in-the-text</x:v>
      </x:c>
      <x:c r="B70" s="26" t="str">
        <x:v>Mapping the Geography Inside the Vedic Texts</x:v>
      </x:c>
      <x:c r="C70" s="26" t="str">
        <x:v>Two rivers carry the corpus: the Indus and the Sarasvatī.</x:v>
      </x:c>
      <x:c r="D70" s="28" t="n">
        <x:v>3213</x:v>
      </x:c>
      <x:c r="E70" s="26" t="str">
        <x:v>relational-analysis</x:v>
      </x:c>
      <x:c r="F70" s="26" t="str">
        <x:v>Living Signal Field</x:v>
      </x:c>
      <x:c r="G70" s="26" t="str">
        <x:v>Reading Room</x:v>
      </x:c>
      <x:c r="H70" s="26" t="str">
        <x:v>Well suited to interactive comparison if the underlying corpus/data and categories are exposed. Its central public claim is “Two rivers carry the corpus: the Indus and the Sarasvatī.” The page has 6 estimated source entries, 0 external links, 7 tables and 2 inline SVGs; source state: limited bibliography</x:v>
      </x:c>
      <x:c r="I70" s="28" t="n">
        <x:v>6</x:v>
      </x:c>
      <x:c r="J70" s="28" t="n">
        <x:v>0</x:v>
      </x:c>
      <x:c r="K70" s="26" t="str">
        <x:v>Split</x:v>
      </x:c>
      <x:c r="L70" s="26" t="str">
        <x:v>Low</x:v>
      </x:c>
      <x:c r="M70" s="26" t="str">
        <x:v>Split the argument or interactive/data layer from the long-form interpretation; preserve one canonical overview.</x:v>
      </x:c>
      <x:c r="N70" s="26" t="str">
        <x:v>No</x:v>
      </x:c>
      <x:c r="O70" s="28" t="n">
        <x:v>2</x:v>
      </x:c>
    </x:row>
    <x:row r="71" ht="68" customHeight="1">
      <x:c r="A71" s="26" t="str">
        <x:v>the-mechanism</x:v>
      </x:c>
      <x:c r="B71" s="26" t="str">
        <x:v>The Mechanism: How Social Hierarchy Was Enforced</x:v>
      </x:c>
      <x:c r="C71" s="26" t="str">
        <x:v>Ask who benefits from the critique, and you can predict what it leaves standing.</x:v>
      </x:c>
      <x:c r="D71" s="28" t="n">
        <x:v>1658</x:v>
      </x:c>
      <x:c r="E71" s="26" t="str">
        <x:v>relational-analysis</x:v>
      </x:c>
      <x:c r="F71" s="26" t="str">
        <x:v>Living Signal Field</x:v>
      </x:c>
      <x:c r="G71" s="26" t="str">
        <x:v>Reading Room</x:v>
      </x:c>
      <x:c r="H71" s="26" t="str">
        <x:v>Well suited to interactive comparison if the underlying corpus/data and categories are exposed. Its central public claim is “Ask who benefits from the critique, and you can predict what it leaves standing.” The page has 9 estimated source entries, 0 external links, 3 tables and 1 inline SVGs; source state: substantial bibliography, mostly non-linked</x:v>
      </x:c>
      <x:c r="I71" s="28" t="n">
        <x:v>9</x:v>
      </x:c>
      <x:c r="J71" s="28" t="n">
        <x:v>0</x:v>
      </x:c>
      <x:c r="K71" s="26" t="str">
        <x:v>Keep</x:v>
      </x:c>
      <x:c r="L71" s="26" t="str">
        <x:v>Low</x:v>
      </x:c>
      <x:c r="M71" s="26" t="str">
        <x:v>Preserve the core argument; complete citation, image-rights, accessibility, and copy review before publication.</x:v>
      </x:c>
      <x:c r="N71" s="26" t="str">
        <x:v>No</x:v>
      </x:c>
      <x:c r="O71" s="28" t="n">
        <x:v>54</x:v>
      </x:c>
    </x:row>
    <x:row r="72" ht="68" customHeight="1">
      <x:c r="A72" s="26" t="str">
        <x:v>the-medicine-question</x:v>
      </x:c>
      <x:c r="B72" s="26" t="str">
        <x:v>Ayurveda and Siddha: Evidence, Efficacy and Heavy Metals</x:v>
      </x:c>
      <x:c r="C72" s="26" t="str">
        <x:v>Traditional medicine, taken seriously — which means taken critically.</x:v>
      </x:c>
      <x:c r="D72" s="28" t="n">
        <x:v>1642</x:v>
      </x:c>
      <x:c r="E72" s="26" t="str">
        <x:v>ecology-or-material</x:v>
      </x:c>
      <x:c r="F72" s="26" t="str">
        <x:v>Living Tiṇai</x:v>
      </x:c>
      <x:c r="G72" s="26" t="str">
        <x:v>Reading Room</x:v>
      </x:c>
      <x:c r="H72" s="26" t="str">
        <x:v>Connect material practice to environmental setting and present knowledge without asserting continuity by resemblance. Its central public claim is “Traditional medicine, taken seriously — which means taken critically.” The page has 22 estimated source entries, 3 external links, 1 tables and 0 inline SVGs; source state: visible bibliography plus live links</x:v>
      </x:c>
      <x:c r="I72" s="28" t="n">
        <x:v>22</x:v>
      </x:c>
      <x:c r="J72" s="28" t="n">
        <x:v>3</x:v>
      </x:c>
      <x:c r="K72" s="26" t="str">
        <x:v>Hold</x:v>
      </x:c>
      <x:c r="L72" s="26" t="str">
        <x:v>Critical</x:v>
      </x:c>
      <x:c r="M72" s="26" t="str">
        <x:v>Withhold from MVP until load-bearing claims receive claim-level citations and specialist/editorial review.</x:v>
      </x:c>
      <x:c r="N72" s="26" t="str">
        <x:v>No</x:v>
      </x:c>
      <x:c r="O72" s="28" t="n">
        <x:v>12</x:v>
      </x:c>
    </x:row>
    <x:row r="73" ht="68" customHeight="1">
      <x:c r="A73" s="26" t="str">
        <x:v>the-names</x:v>
      </x:c>
      <x:c r="B73" s="26" t="str">
        <x:v>Names and Naming in the Ancient South Asian Record</x:v>
      </x:c>
      <x:c r="C73" s="26" t="str">
        <x:v>Three of the named enemies have names Sanskrit cannot parse.</x:v>
      </x:c>
      <x:c r="D73" s="28" t="n">
        <x:v>1324</x:v>
      </x:c>
      <x:c r="E73" s="26" t="str">
        <x:v>research-essay</x:v>
      </x:c>
      <x:c r="F73" s="26" t="str">
        <x:v>Reading Room</x:v>
      </x:c>
      <x:c r="G73" s="26" t="str">
        <x:v>Reading Room</x:v>
      </x:c>
      <x:c r="H73" s="26" t="str">
        <x:v>Potential Reading Room material; its readiness depends on claim-level citations, not prose confidence. Its central public claim is “Three of the named enemies have names Sanskrit cannot parse.” The page has 1 estimated source entries, 0 external links, 3 tables and 1 inline SVGs; source state: minimal source section</x:v>
      </x:c>
      <x:c r="I73" s="28" t="n">
        <x:v>1</x:v>
      </x:c>
      <x:c r="J73" s="28" t="n">
        <x:v>0</x:v>
      </x:c>
      <x:c r="K73" s="26" t="str">
        <x:v>Revise</x:v>
      </x:c>
      <x:c r="L73" s="26" t="str">
        <x:v>Medium</x:v>
      </x:c>
      <x:c r="M73" s="26" t="str">
        <x:v>Add claim-level citations, qualify scope and chronology, expose competing interpretations, and reduce unsupported certainty.</x:v>
      </x:c>
      <x:c r="N73" s="26" t="str">
        <x:v>No</x:v>
      </x:c>
      <x:c r="O73" s="28" t="n">
        <x:v>1</x:v>
      </x:c>
    </x:row>
    <x:row r="74" ht="68" customHeight="1">
      <x:c r="A74" s="26" t="str">
        <x:v>the-narrowing</x:v>
      </x:c>
      <x:c r="B74" s="26" t="str">
        <x:v>How Women's Status Declined in Ancient India</x:v>
      </x:c>
      <x:c r="C74" s="26" t="str">
        <x:v>Women's status did not fade with time. It was narrowed, on purpose, as land and priesthood hardened.</x:v>
      </x:c>
      <x:c r="D74" s="28" t="n">
        <x:v>1291</x:v>
      </x:c>
      <x:c r="E74" s="26" t="str">
        <x:v>research-essay</x:v>
      </x:c>
      <x:c r="F74" s="26" t="str">
        <x:v>Reading Room</x:v>
      </x:c>
      <x:c r="G74" s="26" t="str">
        <x:v>Reading Room</x:v>
      </x:c>
      <x:c r="H74" s="26" t="str">
        <x:v>Potential Reading Room material; its readiness depends on claim-level citations, not prose confidence. Its central public claim is “Women's status did not fade with time. It was narrowed, on purpose, as land and priesthood hardened.” The page has 18 estimated source entries, 0 external links, 1 tables and 1 inline SVGs; source state: substantial bibliography, mostly non-linked</x:v>
      </x:c>
      <x:c r="I74" s="28" t="n">
        <x:v>18</x:v>
      </x:c>
      <x:c r="J74" s="28" t="n">
        <x:v>0</x:v>
      </x:c>
      <x:c r="K74" s="26" t="str">
        <x:v>Hold</x:v>
      </x:c>
      <x:c r="L74" s="26" t="str">
        <x:v>Critical</x:v>
      </x:c>
      <x:c r="M74" s="26" t="str">
        <x:v>Withhold from MVP until load-bearing claims receive claim-level citations and specialist/editorial review.</x:v>
      </x:c>
      <x:c r="N74" s="26" t="str">
        <x:v>No</x:v>
      </x:c>
      <x:c r="O74" s="28" t="n">
        <x:v>2</x:v>
      </x:c>
    </x:row>
    <x:row r="75" ht="68" customHeight="1">
      <x:c r="A75" s="26" t="str">
        <x:v>the-nine-enemies</x:v>
      </x:c>
      <x:c r="B75" s="26" t="str">
        <x:v>The Nine Named Enemies of the Rigveda, and Who Was Paid</x:v>
      </x:c>
      <x:c r="C75" s="26" t="str">
        <x:v>Nine men are named as enemies. Each death has a beneficiary.</x:v>
      </x:c>
      <x:c r="D75" s="28" t="n">
        <x:v>1642</x:v>
      </x:c>
      <x:c r="E75" s="26" t="str">
        <x:v>research-essay</x:v>
      </x:c>
      <x:c r="F75" s="26" t="str">
        <x:v>Reading Room</x:v>
      </x:c>
      <x:c r="G75" s="26" t="str">
        <x:v>Reading Room</x:v>
      </x:c>
      <x:c r="H75" s="26" t="str">
        <x:v>Potential Reading Room material; its readiness depends on claim-level citations, not prose confidence. Its central public claim is “Nine men are named as enemies. Each death has a beneficiary.” The page has 0 estimated source entries, 0 external links, 3 tables and 0 inline SVGs; source state: no detected source section</x:v>
      </x:c>
      <x:c r="I75" s="28" t="n">
        <x:v>0</x:v>
      </x:c>
      <x:c r="J75" s="28" t="n">
        <x:v>0</x:v>
      </x:c>
      <x:c r="K75" s="26" t="str">
        <x:v>Merge</x:v>
      </x:c>
      <x:c r="L75" s="26" t="str">
        <x:v>Medium</x:v>
      </x:c>
      <x:c r="M75" s="26" t="str">
        <x:v>Merge into `the-killed`; preserve unique evidence and redirect this URL.</x:v>
      </x:c>
      <x:c r="N75" s="26" t="str">
        <x:v>No</x:v>
      </x:c>
      <x:c r="O75" s="28" t="n">
        <x:v>13</x:v>
      </x:c>
    </x:row>
    <x:row r="76" ht="68" customHeight="1">
      <x:c r="A76" s="26" t="str">
        <x:v>the-other-laws</x:v>
      </x:c>
      <x:c r="B76" s="26" t="str">
        <x:v>Law Beyond the Dharmasastra: Other Legal Traditions</x:v>
      </x:c>
      <x:c r="C76" s="26" t="str">
        <x:v>Dozens of legal systems were operating. One was in a single volume. That one became law.</x:v>
      </x:c>
      <x:c r="D76" s="28" t="n">
        <x:v>2810</x:v>
      </x:c>
      <x:c r="E76" s="26" t="str">
        <x:v>social-history</x:v>
      </x:c>
      <x:c r="F76" s="26" t="str">
        <x:v>Tamil Retrofuture</x:v>
      </x:c>
      <x:c r="G76" s="26" t="str">
        <x:v>Reading Room</x:v>
      </x:c>
      <x:c r="H76" s="26" t="str">
        <x:v>High public value but high reputational risk when chronology, agency, or causation is stated categorically. Its central public claim is “Dozens of legal systems were operating. One was in a single volume. That one became law.” The page has 23 estimated source entries, 0 external links, 7 tables and 0 inline SVGs; source state: substantial bibliography, mostly non-linked</x:v>
      </x:c>
      <x:c r="I76" s="28" t="n">
        <x:v>23</x:v>
      </x:c>
      <x:c r="J76" s="28" t="n">
        <x:v>0</x:v>
      </x:c>
      <x:c r="K76" s="26" t="str">
        <x:v>Split</x:v>
      </x:c>
      <x:c r="L76" s="26" t="str">
        <x:v>Low</x:v>
      </x:c>
      <x:c r="M76" s="26" t="str">
        <x:v>Split the argument or interactive/data layer from the long-form interpretation; preserve one canonical overview.</x:v>
      </x:c>
      <x:c r="N76" s="26" t="str">
        <x:v>Yes</x:v>
      </x:c>
      <x:c r="O76" s="28" t="n">
        <x:v>47</x:v>
      </x:c>
    </x:row>
    <x:row r="77" ht="68" customHeight="1">
      <x:c r="A77" s="26" t="str">
        <x:v>the-renaming</x:v>
      </x:c>
      <x:c r="B77" s="26" t="str">
        <x:v>The Renaming: Places, Peoples and Sanskritised Names</x:v>
      </x:c>
      <x:c r="C77" s="26" t="str">
        <x:v>Nothing was forbidden. Everything was renamed.</x:v>
      </x:c>
      <x:c r="D77" s="28" t="n">
        <x:v>1675</x:v>
      </x:c>
      <x:c r="E77" s="26" t="str">
        <x:v>institutional-critique</x:v>
      </x:c>
      <x:c r="F77" s="26" t="str">
        <x:v>Extraction / Collection</x:v>
      </x:c>
      <x:c r="G77" s="26" t="str">
        <x:v>Reading Room</x:v>
      </x:c>
      <x:c r="H77" s="26" t="str">
        <x:v>Potentially important critical interpretation; needs especially transparent sourcing and right-of-reply discipline. Its central public claim is “Nothing was forbidden. Everything was renamed.” The page has 0 estimated source entries, 0 external links, 4 tables and 0 inline SVGs; source state: no detected source section</x:v>
      </x:c>
      <x:c r="I77" s="28" t="n">
        <x:v>0</x:v>
      </x:c>
      <x:c r="J77" s="28" t="n">
        <x:v>0</x:v>
      </x:c>
      <x:c r="K77" s="26" t="str">
        <x:v>Revise</x:v>
      </x:c>
      <x:c r="L77" s="26" t="str">
        <x:v>Medium</x:v>
      </x:c>
      <x:c r="M77" s="26" t="str">
        <x:v>Add claim-level citations, qualify scope and chronology, expose competing interpretations, and reduce unsupported certainty.</x:v>
      </x:c>
      <x:c r="N77" s="26" t="str">
        <x:v>No</x:v>
      </x:c>
      <x:c r="O77" s="28" t="n">
        <x:v>1</x:v>
      </x:c>
    </x:row>
    <x:row r="78" ht="68" customHeight="1">
      <x:c r="A78" s="26" t="str">
        <x:v>the-three-ancestries</x:v>
      </x:c>
      <x:c r="B78" s="26" t="str">
        <x:v>Three Ancestries: How South Asian Genomes Were Formed</x:v>
      </x:c>
      <x:c r="C78" s="26" t="str">
        <x:v>Three ancestries made South Asia. Then endogamy froze them in place.</x:v>
      </x:c>
      <x:c r="D78" s="28" t="n">
        <x:v>1824</x:v>
      </x:c>
      <x:c r="E78" s="26" t="str">
        <x:v>comparative-visual</x:v>
      </x:c>
      <x:c r="F78" s="26" t="str">
        <x:v>Living Signal Field</x:v>
      </x:c>
      <x:c r="G78" s="26" t="str">
        <x:v>Reading Room</x:v>
      </x:c>
      <x:c r="H78" s="26" t="str">
        <x:v>Should lead with the visual relationship and make the schematic/measured distinction explicit. Its central public claim is “Three ancestries made South Asia. Then endogamy froze them in place.” The page has 20 estimated source entries, 2 external links, 1 tables and 2 inline SVGs; source state: visible bibliography plus live links</x:v>
      </x:c>
      <x:c r="I78" s="28" t="n">
        <x:v>20</x:v>
      </x:c>
      <x:c r="J78" s="28" t="n">
        <x:v>2</x:v>
      </x:c>
      <x:c r="K78" s="26" t="str">
        <x:v>Keep</x:v>
      </x:c>
      <x:c r="L78" s="26" t="str">
        <x:v>Low</x:v>
      </x:c>
      <x:c r="M78" s="26" t="str">
        <x:v>Preserve the core argument; complete citation, image-rights, accessibility, and copy review before publication.</x:v>
      </x:c>
      <x:c r="N78" s="26" t="str">
        <x:v>No</x:v>
      </x:c>
      <x:c r="O78" s="28" t="n">
        <x:v>10</x:v>
      </x:c>
    </x:row>
    <x:row r="79" ht="68" customHeight="1">
      <x:c r="A79" s="26" t="str">
        <x:v>the-uneven-arrival</x:v>
      </x:c>
      <x:c r="B79" s="26" t="str">
        <x:v>Hittites Spoke Indo-European. Their DNA Lacks Steppe Markers</x:v>
      </x:c>
      <x:c r="C79" s="26" t="str">
        <x:v>The Hittites spoke Indo-European. Their DNA carries no steppe marker.</x:v>
      </x:c>
      <x:c r="D79" s="28" t="n">
        <x:v>1487</x:v>
      </x:c>
      <x:c r="E79" s="26" t="str">
        <x:v>research-essay</x:v>
      </x:c>
      <x:c r="F79" s="26" t="str">
        <x:v>Reading Room</x:v>
      </x:c>
      <x:c r="G79" s="26" t="str">
        <x:v>Reading Room</x:v>
      </x:c>
      <x:c r="H79" s="26" t="str">
        <x:v>Potential Reading Room material; its readiness depends on claim-level citations, not prose confidence. Its central public claim is “The Hittites spoke Indo-European. Their DNA carries no steppe marker.” The page has 12 estimated source entries, 2 external links, 1 tables and 0 inline SVGs; source state: visible bibliography plus live links</x:v>
      </x:c>
      <x:c r="I79" s="28" t="n">
        <x:v>12</x:v>
      </x:c>
      <x:c r="J79" s="28" t="n">
        <x:v>2</x:v>
      </x:c>
      <x:c r="K79" s="26" t="str">
        <x:v>Keep</x:v>
      </x:c>
      <x:c r="L79" s="26" t="str">
        <x:v>Low</x:v>
      </x:c>
      <x:c r="M79" s="26" t="str">
        <x:v>Preserve the core argument; complete citation, image-rights, accessibility, and copy review before publication.</x:v>
      </x:c>
      <x:c r="N79" s="26" t="str">
        <x:v>No</x:v>
      </x:c>
      <x:c r="O79" s="28" t="n">
        <x:v>5</x:v>
      </x:c>
    </x:row>
    <x:row r="80" ht="68" customHeight="1">
      <x:c r="A80" s="26" t="str">
        <x:v>the-unwritten</x:v>
      </x:c>
      <x:c r="B80" s="26" t="str">
        <x:v>The Unwritten: Oral Traditions That Left No Text</x:v>
      </x:c>
      <x:c r="C80" s="26" t="str">
        <x:v>Writing is not where things start. It is where claims start.</x:v>
      </x:c>
      <x:c r="D80" s="28" t="n">
        <x:v>1051</x:v>
      </x:c>
      <x:c r="E80" s="26" t="str">
        <x:v>language</x:v>
      </x:c>
      <x:c r="F80" s="26" t="str">
        <x:v>Nocturnal Veḷi</x:v>
      </x:c>
      <x:c r="G80" s="26" t="str">
        <x:v>Reading Room</x:v>
      </x:c>
      <x:c r="H80" s="26" t="str">
        <x:v>Best framed around established correspondences, competing hypotheses, and clearly bounded unknowns. Its central public claim is “Writing is not where things start. It is where claims start.” The page has 5 estimated source entries, 0 external links, 3 tables and 0 inline SVGs; source state: limited bibliography</x:v>
      </x:c>
      <x:c r="I80" s="28" t="n">
        <x:v>5</x:v>
      </x:c>
      <x:c r="J80" s="28" t="n">
        <x:v>0</x:v>
      </x:c>
      <x:c r="K80" s="26" t="str">
        <x:v>Keep</x:v>
      </x:c>
      <x:c r="L80" s="26" t="str">
        <x:v>Low</x:v>
      </x:c>
      <x:c r="M80" s="26" t="str">
        <x:v>Preserve the core argument; complete citation, image-rights, accessibility, and copy review before publication.</x:v>
      </x:c>
      <x:c r="N80" s="26" t="str">
        <x:v>No</x:v>
      </x:c>
      <x:c r="O80" s="28" t="n">
        <x:v>50</x:v>
      </x:c>
    </x:row>
    <x:row r="81" ht="68" customHeight="1">
      <x:c r="A81" s="26" t="str">
        <x:v>the-vedda</x:v>
      </x:c>
      <x:c r="B81" s="26" t="str">
        <x:v>The Vedda of Sri Lanka: Ancient Ancestry, Lost Language</x:v>
      </x:c>
      <x:c r="C81" s="26" t="str">
        <x:v>The Vedda: an ancient population, and a language lost within living memory.</x:v>
      </x:c>
      <x:c r="D81" s="28" t="n">
        <x:v>1130</x:v>
      </x:c>
      <x:c r="E81" s="26" t="str">
        <x:v>research-essay</x:v>
      </x:c>
      <x:c r="F81" s="26" t="str">
        <x:v>Reading Room</x:v>
      </x:c>
      <x:c r="G81" s="26" t="str">
        <x:v>Reading Room</x:v>
      </x:c>
      <x:c r="H81" s="26" t="str">
        <x:v>Potential Reading Room material; its readiness depends on claim-level citations, not prose confidence. Its central public claim is “The Vedda: an ancient population, and a language lost within living memory.” The page has 15 estimated source entries, 0 external links, 1 tables and 0 inline SVGs; source state: substantial bibliography, mostly non-linked</x:v>
      </x:c>
      <x:c r="I81" s="28" t="n">
        <x:v>15</x:v>
      </x:c>
      <x:c r="J81" s="28" t="n">
        <x:v>0</x:v>
      </x:c>
      <x:c r="K81" s="26" t="str">
        <x:v>Keep</x:v>
      </x:c>
      <x:c r="L81" s="26" t="str">
        <x:v>Low</x:v>
      </x:c>
      <x:c r="M81" s="26" t="str">
        <x:v>Preserve the core argument; complete citation, image-rights, accessibility, and copy review before publication.</x:v>
      </x:c>
      <x:c r="N81" s="26" t="str">
        <x:v>No</x:v>
      </x:c>
      <x:c r="O81" s="28" t="n">
        <x:v>5</x:v>
      </x:c>
    </x:row>
    <x:row r="82" ht="68" customHeight="1">
      <x:c r="A82" s="26" t="str">
        <x:v>the-visitors</x:v>
      </x:c>
      <x:c r="B82" s="26" t="str">
        <x:v>Foreign Visitors' Accounts of Ancient India</x:v>
      </x:c>
      <x:c r="C82" s="26" t="str">
        <x:v>Three Chinese monks spent fifty years in India and wrote it all down.</x:v>
      </x:c>
      <x:c r="D82" s="28" t="n">
        <x:v>1621</x:v>
      </x:c>
      <x:c r="E82" s="26" t="str">
        <x:v>relational-analysis</x:v>
      </x:c>
      <x:c r="F82" s="26" t="str">
        <x:v>Living Signal Field</x:v>
      </x:c>
      <x:c r="G82" s="26" t="str">
        <x:v>Reading Room</x:v>
      </x:c>
      <x:c r="H82" s="26" t="str">
        <x:v>Well suited to interactive comparison if the underlying corpus/data and categories are exposed. Its central public claim is “Three Chinese monks spent fifty years in India and wrote it all down.” The page has 15 estimated source entries, 0 external links, 2 tables and 2 inline SVGs; source state: substantial bibliography, mostly non-linked</x:v>
      </x:c>
      <x:c r="I82" s="28" t="n">
        <x:v>15</x:v>
      </x:c>
      <x:c r="J82" s="28" t="n">
        <x:v>0</x:v>
      </x:c>
      <x:c r="K82" s="26" t="str">
        <x:v>Keep</x:v>
      </x:c>
      <x:c r="L82" s="26" t="str">
        <x:v>Low</x:v>
      </x:c>
      <x:c r="M82" s="26" t="str">
        <x:v>Preserve the core argument; complete citation, image-rights, accessibility, and copy review before publication.</x:v>
      </x:c>
      <x:c r="N82" s="26" t="str">
        <x:v>No</x:v>
      </x:c>
      <x:c r="O82" s="28" t="n">
        <x:v>51</x:v>
      </x:c>
    </x:row>
    <x:row r="83" ht="68" customHeight="1">
      <x:c r="A83" s="26" t="str">
        <x:v>the-water-city</x:v>
      </x:c>
      <x:c r="B83" s="26" t="str">
        <x:v>Indus Water Engineering: Drains, Wells and No Palaces</x:v>
      </x:c>
      <x:c r="C83" s="26" t="str">
        <x:v>The Indus built its cities around water — and left no palace to control it.</x:v>
      </x:c>
      <x:c r="D83" s="28" t="n">
        <x:v>1181</x:v>
      </x:c>
      <x:c r="E83" s="26" t="str">
        <x:v>place</x:v>
      </x:c>
      <x:c r="F83" s="26" t="str">
        <x:v>Living Tiṇai</x:v>
      </x:c>
      <x:c r="G83" s="26" t="str">
        <x:v>Reading Room</x:v>
      </x:c>
      <x:c r="H83" s="26" t="str">
        <x:v>Strong museum material because place, excavation, politics, and present stakes can remain connected. Its central public claim is “The Indus built its cities around water — and left no palace to control it.” The page has 11 estimated source entries, 0 external links, 1 tables and 0 inline SVGs; source state: substantial bibliography, mostly non-linked</x:v>
      </x:c>
      <x:c r="I83" s="28" t="n">
        <x:v>11</x:v>
      </x:c>
      <x:c r="J83" s="28" t="n">
        <x:v>0</x:v>
      </x:c>
      <x:c r="K83" s="26" t="str">
        <x:v>Keep</x:v>
      </x:c>
      <x:c r="L83" s="26" t="str">
        <x:v>Low</x:v>
      </x:c>
      <x:c r="M83" s="26" t="str">
        <x:v>Preserve the core argument; complete citation, image-rights, accessibility, and copy review before publication.</x:v>
      </x:c>
      <x:c r="N83" s="26" t="str">
        <x:v>Yes</x:v>
      </x:c>
      <x:c r="O83" s="28" t="n">
        <x:v>7</x:v>
      </x:c>
    </x:row>
    <x:row r="84" ht="68" customHeight="1">
      <x:c r="A84" s="26" t="str">
        <x:v>the-womb-doctrine</x:v>
      </x:c>
      <x:c r="B84" s="26" t="str">
        <x:v>Caste Rebirth Appears in One Upanishad, Not Its Parallel</x:v>
      </x:c>
      <x:c r="C84" s="26" t="str">
        <x:v>Caste-by-rebirth is one school's insertion — not shared scripture.</x:v>
      </x:c>
      <x:c r="D84" s="28" t="n">
        <x:v>1306</x:v>
      </x:c>
      <x:c r="E84" s="26" t="str">
        <x:v>social-history</x:v>
      </x:c>
      <x:c r="F84" s="26" t="str">
        <x:v>Tamil Retrofuture</x:v>
      </x:c>
      <x:c r="G84" s="26" t="str">
        <x:v>Reading Room</x:v>
      </x:c>
      <x:c r="H84" s="26" t="str">
        <x:v>High public value but high reputational risk when chronology, agency, or causation is stated categorically. Its central public claim is “Caste-by-rebirth is one school's insertion — not shared scripture.” The page has 5 estimated source entries, 0 external links, 1 tables and 0 inline SVGs; source state: limited bibliography</x:v>
      </x:c>
      <x:c r="I84" s="28" t="n">
        <x:v>5</x:v>
      </x:c>
      <x:c r="J84" s="28" t="n">
        <x:v>0</x:v>
      </x:c>
      <x:c r="K84" s="26" t="str">
        <x:v>Keep</x:v>
      </x:c>
      <x:c r="L84" s="26" t="str">
        <x:v>Low</x:v>
      </x:c>
      <x:c r="M84" s="26" t="str">
        <x:v>Preserve the core argument; complete citation, image-rights, accessibility, and copy review before publication.</x:v>
      </x:c>
      <x:c r="N84" s="26" t="str">
        <x:v>No</x:v>
      </x:c>
      <x:c r="O84" s="28" t="n">
        <x:v>18</x:v>
      </x:c>
    </x:row>
    <x:row r="85" ht="68" customHeight="1">
      <x:c r="A85" s="26" t="str">
        <x:v>the-words-of-caste</x:v>
      </x:c>
      <x:c r="B85" s="26" t="str">
        <x:v>The Vocabulary of Caste: Vis, Jati, Varna, Gotra</x:v>
      </x:c>
      <x:c r="C85" s="26" t="str">
        <x:v>The words of caste were innocent first.</x:v>
      </x:c>
      <x:c r="D85" s="28" t="n">
        <x:v>1374</x:v>
      </x:c>
      <x:c r="E85" s="26" t="str">
        <x:v>social-history</x:v>
      </x:c>
      <x:c r="F85" s="26" t="str">
        <x:v>Tamil Retrofuture</x:v>
      </x:c>
      <x:c r="G85" s="26" t="str">
        <x:v>Reading Room</x:v>
      </x:c>
      <x:c r="H85" s="26" t="str">
        <x:v>High public value but high reputational risk when chronology, agency, or causation is stated categorically. Its central public claim is “The words of caste were innocent first.” The page has 15 estimated source entries, 1 external links, 2 tables and 0 inline SVGs; source state: substantial bibliography, mostly non-linked</x:v>
      </x:c>
      <x:c r="I85" s="28" t="n">
        <x:v>15</x:v>
      </x:c>
      <x:c r="J85" s="28" t="n">
        <x:v>1</x:v>
      </x:c>
      <x:c r="K85" s="26" t="str">
        <x:v>Keep</x:v>
      </x:c>
      <x:c r="L85" s="26" t="str">
        <x:v>Medium</x:v>
      </x:c>
      <x:c r="M85" s="26" t="str">
        <x:v>Preserve the core argument; complete citation, image-rights, accessibility, and copy review before publication.</x:v>
      </x:c>
      <x:c r="N85" s="26" t="str">
        <x:v>No</x:v>
      </x:c>
      <x:c r="O85" s="28" t="n">
        <x:v>5</x:v>
      </x:c>
    </x:row>
    <x:row r="86" ht="68" customHeight="1">
      <x:c r="A86" s="26" t="str">
        <x:v>therigatha</x:v>
      </x:c>
      <x:c r="B86" s="26" t="str">
        <x:v>Therigatha: Poems by the First Buddhist Women</x:v>
      </x:c>
      <x:c r="C86" s="26" t="str">
        <x:v>Seventy-three poems by named women — and most people have never read one.</x:v>
      </x:c>
      <x:c r="D86" s="28" t="n">
        <x:v>1340</x:v>
      </x:c>
      <x:c r="E86" s="26" t="str">
        <x:v>research-essay</x:v>
      </x:c>
      <x:c r="F86" s="26" t="str">
        <x:v>Reading Room</x:v>
      </x:c>
      <x:c r="G86" s="26" t="str">
        <x:v>Reading Room</x:v>
      </x:c>
      <x:c r="H86" s="26" t="str">
        <x:v>Potential Reading Room material; its readiness depends on claim-level citations, not prose confidence. Its central public claim is “Seventy-three poems by named women — and most people have never read one.” The page has 1 estimated source entries, 0 external links, 0 tables and 1 inline SVGs; source state: minimal source section</x:v>
      </x:c>
      <x:c r="I86" s="28" t="n">
        <x:v>1</x:v>
      </x:c>
      <x:c r="J86" s="28" t="n">
        <x:v>0</x:v>
      </x:c>
      <x:c r="K86" s="26" t="str">
        <x:v>Revise</x:v>
      </x:c>
      <x:c r="L86" s="26" t="str">
        <x:v>High</x:v>
      </x:c>
      <x:c r="M86" s="26" t="str">
        <x:v>Add claim-level citations, qualify scope and chronology, expose competing interpretations, and reduce unsupported certainty.</x:v>
      </x:c>
      <x:c r="N86" s="26" t="str">
        <x:v>No</x:v>
      </x:c>
      <x:c r="O86" s="28" t="n">
        <x:v>56</x:v>
      </x:c>
    </x:row>
    <x:row r="87" ht="68" customHeight="1">
      <x:c r="A87" s="26" t="str">
        <x:v>they-already-knew</x:v>
      </x:c>
      <x:c r="B87" s="26" t="str">
        <x:v>They Already Knew: Anti-Caste Movements and What Followed</x:v>
      </x:c>
      <x:c r="C87" s="26" t="str">
        <x:v>They already knew. In 1873, they said it out loud.</x:v>
      </x:c>
      <x:c r="D87" s="28" t="n">
        <x:v>1647</x:v>
      </x:c>
      <x:c r="E87" s="26" t="str">
        <x:v>research-essay</x:v>
      </x:c>
      <x:c r="F87" s="26" t="str">
        <x:v>Reading Room</x:v>
      </x:c>
      <x:c r="G87" s="26" t="str">
        <x:v>Reading Room</x:v>
      </x:c>
      <x:c r="H87" s="26" t="str">
        <x:v>Potential Reading Room material; its readiness depends on claim-level citations, not prose confidence. Its central public claim is “They already knew. In 1873, they said it out loud.” The page has 15 estimated source entries, 1 external links, 0 tables and 0 inline SVGs; source state: substantial bibliography, mostly non-linked</x:v>
      </x:c>
      <x:c r="I87" s="28" t="n">
        <x:v>15</x:v>
      </x:c>
      <x:c r="J87" s="28" t="n">
        <x:v>1</x:v>
      </x:c>
      <x:c r="K87" s="26" t="str">
        <x:v>Hold</x:v>
      </x:c>
      <x:c r="L87" s="26" t="str">
        <x:v>Critical</x:v>
      </x:c>
      <x:c r="M87" s="26" t="str">
        <x:v>Withhold from MVP until load-bearing claims receive claim-level citations and specialist/editorial review.</x:v>
      </x:c>
      <x:c r="N87" s="26" t="str">
        <x:v>No</x:v>
      </x:c>
      <x:c r="O87" s="28" t="n">
        <x:v>14</x:v>
      </x:c>
    </x:row>
    <x:row r="88" ht="68" customHeight="1">
      <x:c r="A88" s="26" t="str">
        <x:v>tinai</x:v>
      </x:c>
      <x:c r="B88" s="26" t="str">
        <x:v>Tinai: The Tamil Poetics of Five Landscapes</x:v>
      </x:c>
      <x:c r="C88" s="26" t="str">
        <x:v>Tiṇai: a poetics that thinks with the land.</x:v>
      </x:c>
      <x:c r="D88" s="28" t="n">
        <x:v>1407</x:v>
      </x:c>
      <x:c r="E88" s="26" t="str">
        <x:v>concept</x:v>
      </x:c>
      <x:c r="F88" s="26" t="str">
        <x:v>Living Tiṇai</x:v>
      </x:c>
      <x:c r="G88" s="26" t="str">
        <x:v>Reading Room</x:v>
      </x:c>
      <x:c r="H88" s="26" t="str">
        <x:v>Defines a knowledge framework rather than merely describing a historical topic. Its central public claim is “Tiṇai: a poetics that thinks with the land.” The page has 19 estimated source entries, 2 external links, 1 tables and 0 inline SVGs; source state: visible bibliography plus live links</x:v>
      </x:c>
      <x:c r="I88" s="28" t="n">
        <x:v>19</x:v>
      </x:c>
      <x:c r="J88" s="28" t="n">
        <x:v>2</x:v>
      </x:c>
      <x:c r="K88" s="26" t="str">
        <x:v>Keep</x:v>
      </x:c>
      <x:c r="L88" s="26" t="str">
        <x:v>Low</x:v>
      </x:c>
      <x:c r="M88" s="26" t="str">
        <x:v>Preserve the core argument; complete citation, image-rights, accessibility, and copy review before publication.</x:v>
      </x:c>
      <x:c r="N88" s="26" t="str">
        <x:v>Yes</x:v>
      </x:c>
      <x:c r="O88" s="28" t="n">
        <x:v>8</x:v>
      </x:c>
    </x:row>
    <x:row r="89" ht="68" customHeight="1">
      <x:c r="A89" s="26" t="str">
        <x:v>two-classical-languages</x:v>
      </x:c>
      <x:c r="B89" s="26" t="str">
        <x:v>Sanskrit and Tamil: Two Classical Languages Compared</x:v>
      </x:c>
      <x:c r="C89" s="26" t="str">
        <x:v>Two classical languages, built the same way.</x:v>
      </x:c>
      <x:c r="D89" s="28" t="n">
        <x:v>2755</x:v>
      </x:c>
      <x:c r="E89" s="26" t="str">
        <x:v>comparative-visual</x:v>
      </x:c>
      <x:c r="F89" s="26" t="str">
        <x:v>Living Signal Field</x:v>
      </x:c>
      <x:c r="G89" s="26" t="str">
        <x:v>Reading Room</x:v>
      </x:c>
      <x:c r="H89" s="26" t="str">
        <x:v>Should lead with the visual relationship and make the schematic/measured distinction explicit. Its central public claim is “Two classical languages, built the same way.” The page has 13 estimated source entries, 0 external links, 5 tables and 0 inline SVGs; source state: substantial bibliography, mostly non-linked</x:v>
      </x:c>
      <x:c r="I89" s="28" t="n">
        <x:v>13</x:v>
      </x:c>
      <x:c r="J89" s="28" t="n">
        <x:v>0</x:v>
      </x:c>
      <x:c r="K89" s="26" t="str">
        <x:v>Split</x:v>
      </x:c>
      <x:c r="L89" s="26" t="str">
        <x:v>Low</x:v>
      </x:c>
      <x:c r="M89" s="26" t="str">
        <x:v>Split the argument or interactive/data layer from the long-form interpretation; preserve one canonical overview.</x:v>
      </x:c>
      <x:c r="N89" s="26" t="str">
        <x:v>No</x:v>
      </x:c>
      <x:c r="O89" s="28" t="n">
        <x:v>1</x:v>
      </x:c>
    </x:row>
    <x:row r="90" ht="68" customHeight="1">
      <x:c r="A90" s="26" t="str">
        <x:v>veli</x:v>
      </x:c>
      <x:c r="B90" s="26" t="str">
        <x:v>Veli: The Open, and What Was Put Outside</x:v>
      </x:c>
      <x:c r="C90" s="26" t="str">
        <x:v>Veḷi means empty, open, outside, clear, light and true — and those are one word, not six.</x:v>
      </x:c>
      <x:c r="D90" s="28" t="n">
        <x:v>1076</x:v>
      </x:c>
      <x:c r="E90" s="26" t="str">
        <x:v>semantic-field</x:v>
      </x:c>
      <x:c r="F90" s="26" t="str">
        <x:v>Nocturnal Veḷi</x:v>
      </x:c>
      <x:c r="G90" s="26" t="str">
        <x:v>Reading Room</x:v>
      </x:c>
      <x:c r="H90" s="26" t="str">
        <x:v>Central brand/intellectual page; dictionary entries, attested languages, and semantic convergence must be exact. Its central public claim is “Veḷi means empty, open, outside, clear, light and true — and those are one word, not six.” The page has 9 estimated source entries, 0 external links, 2 tables and 0 inline SVGs; source state: substantial bibliography, mostly non-linked</x:v>
      </x:c>
      <x:c r="I90" s="28" t="n">
        <x:v>9</x:v>
      </x:c>
      <x:c r="J90" s="28" t="n">
        <x:v>0</x:v>
      </x:c>
      <x:c r="K90" s="26" t="str">
        <x:v>Keep</x:v>
      </x:c>
      <x:c r="L90" s="26" t="str">
        <x:v>Low</x:v>
      </x:c>
      <x:c r="M90" s="26" t="str">
        <x:v>Preserve the core argument; complete citation, image-rights, accessibility, and copy review before publication.</x:v>
      </x:c>
      <x:c r="N90" s="26" t="str">
        <x:v>Yes</x:v>
      </x:c>
      <x:c r="O90" s="28" t="n">
        <x:v>46</x:v>
      </x:c>
    </x:row>
    <x:row r="91" ht="68" customHeight="1">
      <x:c r="A91" s="26" t="str">
        <x:v>visvamitra</x:v>
      </x:c>
      <x:c r="B91" s="26" t="str">
        <x:v>Visvamitra: The Warrior Who Composed the Gayatri</x:v>
      </x:c>
      <x:c r="C91" s="26" t="str">
        <x:v>The holiest verse in Brahmanism was written by a warrior.</x:v>
      </x:c>
      <x:c r="D91" s="28" t="n">
        <x:v>1107</x:v>
      </x:c>
      <x:c r="E91" s="26" t="str">
        <x:v>research-essay</x:v>
      </x:c>
      <x:c r="F91" s="26" t="str">
        <x:v>Reading Room</x:v>
      </x:c>
      <x:c r="G91" s="26" t="str">
        <x:v>Reading Room</x:v>
      </x:c>
      <x:c r="H91" s="26" t="str">
        <x:v>Potential Reading Room material; its readiness depends on claim-level citations, not prose confidence. Its central public claim is “The holiest verse in Brahmanism was written by a warrior.” The page has 11 estimated source entries, 0 external links, 1 tables and 0 inline SVGs; source state: substantial bibliography, mostly non-linked</x:v>
      </x:c>
      <x:c r="I91" s="28" t="n">
        <x:v>11</x:v>
      </x:c>
      <x:c r="J91" s="28" t="n">
        <x:v>0</x:v>
      </x:c>
      <x:c r="K91" s="26" t="str">
        <x:v>Keep</x:v>
      </x:c>
      <x:c r="L91" s="26" t="str">
        <x:v>Low</x:v>
      </x:c>
      <x:c r="M91" s="26" t="str">
        <x:v>Preserve the core argument; complete citation, image-rights, accessibility, and copy review before publication.</x:v>
      </x:c>
      <x:c r="N91" s="26" t="str">
        <x:v>No</x:v>
      </x:c>
      <x:c r="O91" s="28" t="n">
        <x:v>2</x:v>
      </x:c>
    </x:row>
    <x:row r="92" ht="68" customHeight="1">
      <x:c r="A92" s="26" t="str">
        <x:v>what-the-children-are-taught</x:v>
      </x:c>
      <x:c r="B92" s="26" t="str">
        <x:v>What Indian Children Are Taught, and What Is Left Out</x:v>
      </x:c>
      <x:c r="C92" s="26" t="str">
        <x:v>A civilisation was renamed in a textbook for eleven-year-olds.</x:v>
      </x:c>
      <x:c r="D92" s="28" t="n">
        <x:v>1255</x:v>
      </x:c>
      <x:c r="E92" s="26" t="str">
        <x:v>learning</x:v>
      </x:c>
      <x:c r="F92" s="26" t="str">
        <x:v>Tamil Retrofuture</x:v>
      </x:c>
      <x:c r="G92" s="26" t="str">
        <x:v>Reading Room</x:v>
      </x:c>
      <x:c r="H92" s="26" t="str">
        <x:v>Should be rewritten for a declared learner level and tested with educators rather than merely simplifying an adult argument. Its central public claim is “A civilisation was renamed in a textbook for eleven-year-olds.” The page has 0 estimated source entries, 0 external links, 1 tables and 0 inline SVGs; source state: no detected source section</x:v>
      </x:c>
      <x:c r="I92" s="28" t="n">
        <x:v>0</x:v>
      </x:c>
      <x:c r="J92" s="28" t="n">
        <x:v>0</x:v>
      </x:c>
      <x:c r="K92" s="26" t="str">
        <x:v>Revise</x:v>
      </x:c>
      <x:c r="L92" s="26" t="str">
        <x:v>Medium</x:v>
      </x:c>
      <x:c r="M92" s="26" t="str">
        <x:v>Add claim-level citations, qualify scope and chronology, expose competing interpretations, and reduce unsupported certainty.</x:v>
      </x:c>
      <x:c r="N92" s="26" t="str">
        <x:v>No</x:v>
      </x:c>
      <x:c r="O92" s="28" t="n">
        <x:v>3</x:v>
      </x:c>
    </x:row>
    <x:row r="93" ht="68" customHeight="1">
      <x:c r="A93" s="26" t="str">
        <x:v>what-they-had</x:v>
      </x:c>
      <x:c r="B93" s="26" t="str">
        <x:v>What They Had: Material Culture of Ancient South Asia</x:v>
      </x:c>
      <x:c r="C93" s="26" t="str">
        <x:v>No word for the plough until the last layer.</x:v>
      </x:c>
      <x:c r="D93" s="28" t="n">
        <x:v>1364</x:v>
      </x:c>
      <x:c r="E93" s="26" t="str">
        <x:v>research-essay</x:v>
      </x:c>
      <x:c r="F93" s="26" t="str">
        <x:v>Reading Room</x:v>
      </x:c>
      <x:c r="G93" s="26" t="str">
        <x:v>Reading Room</x:v>
      </x:c>
      <x:c r="H93" s="26" t="str">
        <x:v>Potential Reading Room material; its readiness depends on claim-level citations, not prose confidence. Its central public claim is “No word for the plough until the last layer.” The page has 0 estimated source entries, 0 external links, 5 tables and 0 inline SVGs; source state: no detected source section</x:v>
      </x:c>
      <x:c r="I93" s="28" t="n">
        <x:v>0</x:v>
      </x:c>
      <x:c r="J93" s="28" t="n">
        <x:v>0</x:v>
      </x:c>
      <x:c r="K93" s="26" t="str">
        <x:v>Revise</x:v>
      </x:c>
      <x:c r="L93" s="26" t="str">
        <x:v>Medium</x:v>
      </x:c>
      <x:c r="M93" s="26" t="str">
        <x:v>Add claim-level citations, qualify scope and chronology, expose competing interpretations, and reduce unsupported certainty.</x:v>
      </x:c>
      <x:c r="N93" s="26" t="str">
        <x:v>No</x:v>
      </x:c>
      <x:c r="O93" s="28" t="n">
        <x:v>2</x:v>
      </x:c>
    </x:row>
    <x:row r="94" ht="68" customHeight="1">
      <x:c r="A94" s="26" t="str">
        <x:v>what-travelled</x:v>
      </x:c>
      <x:c r="B94" s="26" t="str">
        <x:v>What Travelled: Indian Culture Across Asia and What Did Not</x:v>
      </x:c>
      <x:c r="C94" s="26" t="str">
        <x:v>Sanskrit, Śiva, the Buddha and the temple all crossed the ocean. The brahmanical social order did not.</x:v>
      </x:c>
      <x:c r="D94" s="28" t="n">
        <x:v>1416</x:v>
      </x:c>
      <x:c r="E94" s="26" t="str">
        <x:v>network</x:v>
      </x:c>
      <x:c r="F94" s="26" t="str">
        <x:v>Living Signal Field</x:v>
      </x:c>
      <x:c r="G94" s="26" t="str">
        <x:v>Reading Room</x:v>
      </x:c>
      <x:c r="H94" s="26" t="str">
        <x:v>Excellent atlas material if direction, date, and evidentiary basis are encoded separately. Its central public claim is “Sanskrit, Śiva, the Buddha and the temple all crossed the ocean. The brahmanical social order did not.” The page has 6 estimated source entries, 0 external links, 3 tables and 1 inline SVGs; source state: limited bibliography</x:v>
      </x:c>
      <x:c r="I94" s="28" t="n">
        <x:v>6</x:v>
      </x:c>
      <x:c r="J94" s="28" t="n">
        <x:v>0</x:v>
      </x:c>
      <x:c r="K94" s="26" t="str">
        <x:v>Keep</x:v>
      </x:c>
      <x:c r="L94" s="26" t="str">
        <x:v>Low</x:v>
      </x:c>
      <x:c r="M94" s="26" t="str">
        <x:v>Preserve the core argument; complete citation, image-rights, accessibility, and copy review before publication.</x:v>
      </x:c>
      <x:c r="N94" s="26" t="str">
        <x:v>No</x:v>
      </x:c>
      <x:c r="O94" s="28" t="n">
        <x:v>53</x:v>
      </x:c>
    </x:row>
    <x:row r="95" ht="68" customHeight="1">
      <x:c r="A95" s="26" t="str">
        <x:v>what-varna-meant</x:v>
      </x:c>
      <x:c r="B95" s="26" t="str">
        <x:v>What Varna Meant in the Rigveda: All 23 Occurrences</x:v>
      </x:c>
      <x:c r="C95" s="26" t="str">
        <x:v>Varṇa means colour. It never means occupation.</x:v>
      </x:c>
      <x:c r="D95" s="28" t="n">
        <x:v>1463</x:v>
      </x:c>
      <x:c r="E95" s="26" t="str">
        <x:v>social-history</x:v>
      </x:c>
      <x:c r="F95" s="26" t="str">
        <x:v>Tamil Retrofuture</x:v>
      </x:c>
      <x:c r="G95" s="26" t="str">
        <x:v>Reading Room</x:v>
      </x:c>
      <x:c r="H95" s="26" t="str">
        <x:v>High public value but high reputational risk when chronology, agency, or causation is stated categorically. Its central public claim is “Varṇa means colour. It never means occupation.” The page has 0 estimated source entries, 0 external links, 3 tables and 1 inline SVGs; source state: no detected source section</x:v>
      </x:c>
      <x:c r="I95" s="28" t="n">
        <x:v>0</x:v>
      </x:c>
      <x:c r="J95" s="28" t="n">
        <x:v>0</x:v>
      </x:c>
      <x:c r="K95" s="26" t="str">
        <x:v>Revise</x:v>
      </x:c>
      <x:c r="L95" s="26" t="str">
        <x:v>High</x:v>
      </x:c>
      <x:c r="M95" s="26" t="str">
        <x:v>Add claim-level citations, qualify scope and chronology, expose competing interpretations, and reduce unsupported certainty.</x:v>
      </x:c>
      <x:c r="N95" s="26" t="str">
        <x:v>No</x:v>
      </x:c>
      <x:c r="O95" s="28" t="n">
        <x:v>71</x:v>
      </x:c>
    </x:row>
    <x:row r="96" ht="68" customHeight="1">
      <x:c r="A96" s="26" t="str">
        <x:v>who-had-it-first</x:v>
      </x:c>
      <x:c r="B96" s="26" t="str">
        <x:v>Who Had It First: Priority Claims in South Asian History</x:v>
      </x:c>
      <x:c r="C96" s="26" t="str">
        <x:v>Who had it first.</x:v>
      </x:c>
      <x:c r="D96" s="28" t="n">
        <x:v>2105</x:v>
      </x:c>
      <x:c r="E96" s="26" t="str">
        <x:v>research-essay</x:v>
      </x:c>
      <x:c r="F96" s="26" t="str">
        <x:v>Reading Room</x:v>
      </x:c>
      <x:c r="G96" s="26" t="str">
        <x:v>Reading Room</x:v>
      </x:c>
      <x:c r="H96" s="26" t="str">
        <x:v>Potential Reading Room material; its readiness depends on claim-level citations, not prose confidence. Its central public claim is “Who had it first.” The page has 18 estimated source entries, 0 external links, 4 tables and 0 inline SVGs; source state: substantial bibliography, mostly non-linked</x:v>
      </x:c>
      <x:c r="I96" s="28" t="n">
        <x:v>18</x:v>
      </x:c>
      <x:c r="J96" s="28" t="n">
        <x:v>0</x:v>
      </x:c>
      <x:c r="K96" s="26" t="str">
        <x:v>Hold</x:v>
      </x:c>
      <x:c r="L96" s="26" t="str">
        <x:v>Critical</x:v>
      </x:c>
      <x:c r="M96" s="26" t="str">
        <x:v>Withhold from MVP until load-bearing claims receive claim-level citations and specialist/editorial review.</x:v>
      </x:c>
      <x:c r="N96" s="26" t="str">
        <x:v>No</x:v>
      </x:c>
      <x:c r="O96" s="28" t="n">
        <x:v>1</x:v>
      </x:c>
    </x:row>
    <x:row r="97" ht="68" customHeight="1">
      <x:c r="A97" s="26" t="str">
        <x:v>who-is-speaking</x:v>
      </x:c>
      <x:c r="B97" s="26" t="str">
        <x:v>Who Is Speaking: Voice and Authority in Ancient Texts</x:v>
      </x:c>
      <x:c r="C97" s="26" t="str">
        <x:v>The passages that bind hardest are the ones nobody signed.</x:v>
      </x:c>
      <x:c r="D97" s="28" t="n">
        <x:v>2154</x:v>
      </x:c>
      <x:c r="E97" s="26" t="str">
        <x:v>research-essay</x:v>
      </x:c>
      <x:c r="F97" s="26" t="str">
        <x:v>Reading Room</x:v>
      </x:c>
      <x:c r="G97" s="26" t="str">
        <x:v>Reading Room</x:v>
      </x:c>
      <x:c r="H97" s="26" t="str">
        <x:v>Potential Reading Room material; its readiness depends on claim-level citations, not prose confidence. Its central public claim is “The passages that bind hardest are the ones nobody signed.” The page has 3 estimated source entries, 0 external links, 4 tables and 1 inline SVGs; source state: limited bibliography</x:v>
      </x:c>
      <x:c r="I97" s="28" t="n">
        <x:v>3</x:v>
      </x:c>
      <x:c r="J97" s="28" t="n">
        <x:v>0</x:v>
      </x:c>
      <x:c r="K97" s="26" t="str">
        <x:v>Keep</x:v>
      </x:c>
      <x:c r="L97" s="26" t="str">
        <x:v>Low</x:v>
      </x:c>
      <x:c r="M97" s="26" t="str">
        <x:v>Preserve the core argument; complete citation, image-rights, accessibility, and copy review before publication.</x:v>
      </x:c>
      <x:c r="N97" s="26" t="str">
        <x:v>No</x:v>
      </x:c>
      <x:c r="O97" s="28" t="n">
        <x:v>1</x:v>
      </x:c>
    </x:row>
    <x:row r="98" ht="68" customHeight="1">
      <x:c r="A98" s="26" t="str">
        <x:v>who-named-india</x:v>
      </x:c>
      <x:c r="B98" s="26" t="str">
        <x:v>Who Named India: Sindhu, Hindu, and the Exonym Chain</x:v>
      </x:c>
      <x:c r="C98" s="26" t="str">
        <x:v>Who named India? Never India.</x:v>
      </x:c>
      <x:c r="D98" s="28" t="n">
        <x:v>1134</x:v>
      </x:c>
      <x:c r="E98" s="26" t="str">
        <x:v>research-essay</x:v>
      </x:c>
      <x:c r="F98" s="26" t="str">
        <x:v>Reading Room</x:v>
      </x:c>
      <x:c r="G98" s="26" t="str">
        <x:v>Reading Room</x:v>
      </x:c>
      <x:c r="H98" s="26" t="str">
        <x:v>Potential Reading Room material; its readiness depends on claim-level citations, not prose confidence. Its central public claim is “Who named India? Never India.” The page has 14 estimated source entries, 0 external links, 1 tables and 0 inline SVGs; source state: substantial bibliography, mostly non-linked</x:v>
      </x:c>
      <x:c r="I98" s="28" t="n">
        <x:v>14</x:v>
      </x:c>
      <x:c r="J98" s="28" t="n">
        <x:v>0</x:v>
      </x:c>
      <x:c r="K98" s="26" t="str">
        <x:v>Keep</x:v>
      </x:c>
      <x:c r="L98" s="26" t="str">
        <x:v>Medium</x:v>
      </x:c>
      <x:c r="M98" s="26" t="str">
        <x:v>Preserve the core argument; complete citation, image-rights, accessibility, and copy review before publication.</x:v>
      </x:c>
      <x:c r="N98" s="26" t="str">
        <x:v>No</x:v>
      </x:c>
      <x:c r="O98" s="28" t="n">
        <x:v>2</x:v>
      </x:c>
    </x:row>
    <x:row r="99" ht="68" customHeight="1">
      <x:c r="A99" s="26" t="str">
        <x:v>who-writes-the-textbook</x:v>
      </x:c>
      <x:c r="B99" s="26" t="str">
        <x:v>Who Writes India's History Textbooks: The Danino Case</x:v>
      </x:c>
      <x:c r="C99" s="26" t="str">
        <x:v>An electrical engineer wrote India's history curriculum.</x:v>
      </x:c>
      <x:c r="D99" s="28" t="n">
        <x:v>1954</x:v>
      </x:c>
      <x:c r="E99" s="26" t="str">
        <x:v>institutional-critique</x:v>
      </x:c>
      <x:c r="F99" s="26" t="str">
        <x:v>Extraction / Collection</x:v>
      </x:c>
      <x:c r="G99" s="26" t="str">
        <x:v>Reading Room</x:v>
      </x:c>
      <x:c r="H99" s="26" t="str">
        <x:v>Potentially important critical interpretation; needs especially transparent sourcing and right-of-reply discipline. Its central public claim is “An electrical engineer wrote India's history curriculum.” The page has 10 estimated source entries, 0 external links, 1 tables and 0 inline SVGs; source state: substantial bibliography, mostly non-linked</x:v>
      </x:c>
      <x:c r="I99" s="28" t="n">
        <x:v>10</x:v>
      </x:c>
      <x:c r="J99" s="28" t="n">
        <x:v>0</x:v>
      </x:c>
      <x:c r="K99" s="26" t="str">
        <x:v>Keep</x:v>
      </x:c>
      <x:c r="L99" s="26" t="str">
        <x:v>Low</x:v>
      </x:c>
      <x:c r="M99" s="26" t="str">
        <x:v>Preserve the core argument; complete citation, image-rights, accessibility, and copy review before publication.</x:v>
      </x:c>
      <x:c r="N99" s="26" t="str">
        <x:v>No</x:v>
      </x:c>
      <x:c r="O99" s="28" t="n">
        <x:v>8</x:v>
      </x:c>
    </x:row>
    <x:row r="100" ht="68" customHeight="1">
      <x:c r="A100" s="27" t="str">
        <x:v>why-the-ranked-defend-the-ranking</x:v>
      </x:c>
      <x:c r="B100" s="27" t="str">
        <x:v>Why the Ranked Defend the Ranking: Hindutva Without Brahmins</x:v>
      </x:c>
      <x:c r="C100" s="27" t="str">
        <x:v>Why do people at the bottom of a hierarchy defend it?</x:v>
      </x:c>
      <x:c r="D100" s="29" t="n">
        <x:v>2202</x:v>
      </x:c>
      <x:c r="E100" s="27" t="str">
        <x:v>social-history</x:v>
      </x:c>
      <x:c r="F100" s="27" t="str">
        <x:v>Tamil Retrofuture</x:v>
      </x:c>
      <x:c r="G100" s="27" t="str">
        <x:v>Reading Room</x:v>
      </x:c>
      <x:c r="H100" s="27" t="str">
        <x:v>High public value but high reputational risk when chronology, agency, or causation is stated categorically. Its central public claim is “Why do people at the bottom of a hierarchy defend it?” The page has 20 estimated source entries, 2 external links, 0 tables and 0 inline SVGs; source state: visible bibliography plus live links</x:v>
      </x:c>
      <x:c r="I100" s="29" t="n">
        <x:v>20</x:v>
      </x:c>
      <x:c r="J100" s="29" t="n">
        <x:v>2</x:v>
      </x:c>
      <x:c r="K100" s="27" t="str">
        <x:v>Hold</x:v>
      </x:c>
      <x:c r="L100" s="27" t="str">
        <x:v>Critical</x:v>
      </x:c>
      <x:c r="M100" s="27" t="str">
        <x:v>Withhold from MVP until load-bearing claims receive claim-level citations and specialist/editorial review.</x:v>
      </x:c>
      <x:c r="N100" s="27" t="str">
        <x:v>No</x:v>
      </x:c>
      <x:c r="O100" s="29" t="n">
        <x:v>9</x:v>
      </x:c>
    </x:row>
  </x:sheetData>
  <x:mergeCells>
    <x:mergeCell ref="A1:O1"/>
    <x:mergeCell ref="A2:O2"/>
  </x:mergeCells>
  <x:conditionalFormatting sqref="K5:K100">
    <x:cfRule type="containsText" dxfId="0" priority="1" operator="containsText" text="Hold"/>
    <x:cfRule type="containsText" dxfId="1" priority="2" operator="containsText" text="Keep"/>
    <x:cfRule type="containsText" dxfId="2" priority="3" operator="containsText" text="Revise"/>
  </x:conditionalFormatting>
  <x:pageMargins left="0.7" right="0.7" top="0.75" bottom="0.75" header="0.3" footer="0.3"/>
  <x:tableParts count="1">
    <x:tablePart xmlns:r="http://schemas.openxmlformats.org/officeDocument/2006/relationships" r:id="R1f9dab5668cd46b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34" t="str">
        <x:v>Mela Keela — Curatorial Audit</x:v>
      </x:c>
      <x:c r="B1" s="34"/>
      <x:c r="C1" s="34"/>
      <x:c r="D1" s="34"/>
      <x:c r="E1" s="34"/>
      <x:c r="F1" s="34"/>
      <x:c r="G1" s="34"/>
      <x:c r="H1" s="34"/>
    </x:row>
    <x:row r="2" ht="34" customHeight="1">
      <x:c r="A2" s="35" t="str">
        <x:v>Baseline: veli-site(3).zip · 96 HTML pages · triage is not final factual verification</x:v>
      </x:c>
      <x:c r="B2" s="35"/>
      <x:c r="C2" s="35"/>
      <x:c r="D2" s="35"/>
      <x:c r="E2" s="35"/>
      <x:c r="F2" s="35"/>
      <x:c r="G2" s="35"/>
      <x:c r="H2" s="35"/>
    </x:row>
    <x:row r="3">
      <x:c r="A3" s="36"/>
      <x:c r="B3" s="36"/>
      <x:c r="C3" s="36"/>
      <x:c r="D3" s="36"/>
      <x:c r="E3" s="36"/>
      <x:c r="F3" s="36"/>
      <x:c r="G3" s="36"/>
      <x:c r="H3" s="36"/>
    </x:row>
    <x:row r="4">
      <x:c r="A4" s="38" t="str">
        <x:v>Measure</x:v>
      </x:c>
      <x:c r="B4" s="38" t="str">
        <x:v>Value</x:v>
      </x:c>
      <x:c r="C4" s="36"/>
      <x:c r="D4" s="38" t="str">
        <x:v>Release gates</x:v>
      </x:c>
      <x:c r="E4" s="38"/>
      <x:c r="F4" s="38"/>
      <x:c r="G4" s="38"/>
      <x:c r="H4" s="38"/>
    </x:row>
    <x:row r="5">
      <x:c r="A5" s="39" t="str">
        <x:v>Pages</x:v>
      </x:c>
      <x:c r="B5" s="40" t="n">
        <x:v>96</x:v>
      </x:c>
      <x:c r="C5" s="36"/>
      <x:c r="D5" s="18" t="str">
        <x:v>1. Claim-level citation review
2. Cross-page consistency review
3. Image rights and provenance
4. Specialist/community review where relevant
5. Browser, accessibility and mobile testing
6. Prototype approval before migration
7. Confirm production domain and deployment allowlist</x:v>
      </x:c>
      <x:c r="E5" s="18"/>
      <x:c r="F5" s="18"/>
      <x:c r="G5" s="18"/>
      <x:c r="H5" s="18"/>
    </x:row>
    <x:row r="6">
      <x:c r="A6" s="39" t="str">
        <x:v>Keep</x:v>
      </x:c>
      <x:c r="B6" s="40" t="n">
        <x:f>COUNTIF('Page Audit'!$K$5:$K$100,"Keep")</x:f>
        <x:v>46</x:v>
      </x:c>
      <x:c r="C6" s="36"/>
      <x:c r="D6" s="18"/>
      <x:c r="E6" s="18"/>
      <x:c r="F6" s="18"/>
      <x:c r="G6" s="18"/>
      <x:c r="H6" s="18"/>
    </x:row>
    <x:row r="7">
      <x:c r="A7" s="39" t="str">
        <x:v>Revise</x:v>
      </x:c>
      <x:c r="B7" s="40" t="n">
        <x:f>COUNTIF('Page Audit'!$K$5:$K$100,"Revise")</x:f>
        <x:v>20</x:v>
      </x:c>
      <x:c r="C7" s="36"/>
      <x:c r="D7" s="18"/>
      <x:c r="E7" s="18"/>
      <x:c r="F7" s="18"/>
      <x:c r="G7" s="18"/>
      <x:c r="H7" s="18"/>
    </x:row>
    <x:row r="8">
      <x:c r="A8" s="39" t="str">
        <x:v>Hold</x:v>
      </x:c>
      <x:c r="B8" s="40" t="n">
        <x:f>COUNTIF('Page Audit'!$K$5:$K$100,"Hold")</x:f>
        <x:v>15</x:v>
      </x:c>
      <x:c r="C8" s="36"/>
      <x:c r="D8" s="18"/>
      <x:c r="E8" s="18"/>
      <x:c r="F8" s="18"/>
      <x:c r="G8" s="18"/>
      <x:c r="H8" s="18"/>
    </x:row>
    <x:row r="9">
      <x:c r="A9" s="39" t="str">
        <x:v>Split</x:v>
      </x:c>
      <x:c r="B9" s="40" t="n">
        <x:f>COUNTIF('Page Audit'!$K$5:$K$100,"Split")</x:f>
        <x:v>11</x:v>
      </x:c>
      <x:c r="C9" s="36"/>
      <x:c r="D9" s="18"/>
      <x:c r="E9" s="18"/>
      <x:c r="F9" s="18"/>
      <x:c r="G9" s="18"/>
      <x:c r="H9" s="18"/>
    </x:row>
    <x:row r="10">
      <x:c r="A10" s="39" t="str">
        <x:v>Merge</x:v>
      </x:c>
      <x:c r="B10" s="40" t="n">
        <x:f>COUNTIF('Page Audit'!$K$5:$K$100,"Merge")</x:f>
        <x:v>4</x:v>
      </x:c>
      <x:c r="C10" s="36"/>
      <x:c r="D10" s="18"/>
      <x:c r="E10" s="18"/>
      <x:c r="F10" s="18"/>
      <x:c r="G10" s="18"/>
      <x:c r="H10" s="18"/>
    </x:row>
    <x:row r="11">
      <x:c r="A11" s="39" t="str">
        <x:v>MVP candidates</x:v>
      </x:c>
      <x:c r="B11" s="40" t="n">
        <x:f>COUNTIF('Page Audit'!$N$5:$N$100,"Yes")</x:f>
        <x:v>15</x:v>
      </x:c>
      <x:c r="C11" s="36"/>
      <x:c r="D11" s="18"/>
      <x:c r="E11" s="18"/>
      <x:c r="F11" s="18"/>
      <x:c r="G11" s="18"/>
      <x:c r="H11" s="18"/>
    </x:row>
    <x:row r="12">
      <x:c r="A12" s="36"/>
      <x:c r="B12" s="36"/>
      <x:c r="C12" s="36"/>
      <x:c r="D12" s="36"/>
      <x:c r="E12" s="36"/>
      <x:c r="F12" s="36"/>
      <x:c r="G12" s="36"/>
      <x:c r="H12" s="36"/>
    </x:row>
    <x:row r="13">
      <x:c r="A13" s="38" t="str">
        <x:v>Interpretation</x:v>
      </x:c>
      <x:c r="B13" s="38"/>
      <x:c r="C13" s="38"/>
      <x:c r="D13" s="38"/>
      <x:c r="E13" s="38"/>
      <x:c r="F13" s="38"/>
      <x:c r="G13" s="38"/>
      <x:c r="H13" s="38"/>
    </x:row>
    <x:row r="14">
      <x:c r="A14" s="21" t="str">
        <x:v>“Keep” means the page has a defensible curatorial role and can proceed to normal review. “Revise” means the argument or source presentation needs work. “Hold” marks high-impact claims that should not enter the MVP before deeper verification. “Split” addresses pages that combine too many functions. “Merge” preserves unique evidence but consolidates overlapping public pages. None of these labels certifies historical truth.</x:v>
      </x:c>
      <x:c r="B14" s="21"/>
      <x:c r="C14" s="21"/>
      <x:c r="D14" s="21"/>
      <x:c r="E14" s="21"/>
      <x:c r="F14" s="21"/>
      <x:c r="G14" s="21"/>
      <x:c r="H14" s="21"/>
    </x:row>
    <x:row r="15">
      <x:c r="A15" s="21"/>
      <x:c r="B15" s="21"/>
      <x:c r="C15" s="21"/>
      <x:c r="D15" s="21"/>
      <x:c r="E15" s="21"/>
      <x:c r="F15" s="21"/>
      <x:c r="G15" s="21"/>
      <x:c r="H15" s="21"/>
    </x:row>
    <x:row r="16">
      <x:c r="A16" s="21"/>
      <x:c r="B16" s="21"/>
      <x:c r="C16" s="21"/>
      <x:c r="D16" s="21"/>
      <x:c r="E16" s="21"/>
      <x:c r="F16" s="21"/>
      <x:c r="G16" s="21"/>
      <x:c r="H16" s="21"/>
    </x:row>
    <x:row r="17">
      <x:c r="A17" s="21"/>
      <x:c r="B17" s="21"/>
      <x:c r="C17" s="21"/>
      <x:c r="D17" s="21"/>
      <x:c r="E17" s="21"/>
      <x:c r="F17" s="21"/>
      <x:c r="G17" s="21"/>
      <x:c r="H17" s="21"/>
    </x:row>
    <x:row r="18">
      <x:c r="A18" s="21"/>
      <x:c r="B18" s="21"/>
      <x:c r="C18" s="21"/>
      <x:c r="D18" s="21"/>
      <x:c r="E18" s="21"/>
      <x:c r="F18" s="21"/>
      <x:c r="G18" s="21"/>
      <x:c r="H18" s="21"/>
    </x:row>
  </x:sheetData>
  <x:mergeCells>
    <x:mergeCell ref="A1:H1"/>
    <x:mergeCell ref="A2:H2"/>
    <x:mergeCell ref="D4:H4"/>
    <x:mergeCell ref="D5:H5"/>
    <x:mergeCell ref="D6:H6"/>
    <x:mergeCell ref="D7:H7"/>
    <x:mergeCell ref="D8:H8"/>
    <x:mergeCell ref="D9:H9"/>
    <x:mergeCell ref="D10:H10"/>
    <x:mergeCell ref="D11:H11"/>
    <x:mergeCell ref="A13:H13"/>
    <x:mergeCell ref="A14:H1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55" hidden="0" customWidth="1"/>
    <x:col min="3" max="3" width="12" hidden="0" customWidth="1"/>
    <x:col min="4" max="4" width="34" hidden="0" customWidth="1"/>
    <x:col min="5" max="5" width="30" hidden="0" customWidth="1"/>
    <x:col min="6" max="6" width="62" hidden="0" customWidth="1"/>
    <x:col min="7" max="7" width="18" hidden="0" customWidth="1"/>
    <x:col min="8" max="8" width="18" hidden="0" customWidth="1"/>
  </x:cols>
  <x:sheetData>
    <x:row r="1" ht="28" customHeight="1">
      <x:c r="A1" s="34" t="str">
        <x:v>Claim-and-source risk register</x:v>
      </x:c>
      <x:c r="B1" s="34"/>
      <x:c r="C1" s="34"/>
      <x:c r="D1" s="34"/>
      <x:c r="E1" s="34"/>
      <x:c r="F1" s="34"/>
      <x:c r="G1" s="34"/>
      <x:c r="H1" s="34"/>
    </x:row>
    <x:row r="2" ht="34" customHeight="1">
      <x:c r="A2" s="35" t="str">
        <x:v>Triage of load-bearing claims requiring claim-level verification; not a verdict on truth or falsity.</x:v>
      </x:c>
      <x:c r="B2" s="35"/>
      <x:c r="C2" s="35"/>
      <x:c r="D2" s="35"/>
      <x:c r="E2" s="35"/>
      <x:c r="F2" s="35"/>
      <x:c r="G2" s="35"/>
      <x:c r="H2" s="35"/>
    </x:row>
    <x:row r="3">
      <x:c r="A3" s="36"/>
      <x:c r="B3" s="36"/>
      <x:c r="C3" s="36"/>
      <x:c r="D3" s="36"/>
      <x:c r="E3" s="36"/>
      <x:c r="F3" s="36"/>
      <x:c r="G3" s="36"/>
      <x:c r="H3" s="36"/>
    </x:row>
    <x:row r="4">
      <x:c r="A4" s="37" t="str">
        <x:v>Slug</x:v>
      </x:c>
      <x:c r="B4" s="37" t="str">
        <x:v>Central claim</x:v>
      </x:c>
      <x:c r="C4" s="37" t="str">
        <x:v>Risk</x:v>
      </x:c>
      <x:c r="D4" s="37" t="str">
        <x:v>Risk type(s)</x:v>
      </x:c>
      <x:c r="E4" s="37" t="str">
        <x:v>Source state</x:v>
      </x:c>
      <x:c r="F4" s="37" t="str">
        <x:v>Verification required</x:v>
      </x:c>
      <x:c r="G4" s="37" t="str">
        <x:v>Publication gate</x:v>
      </x:c>
      <x:c r="H4" s="37" t="str">
        <x:v>Owner/status</x:v>
      </x:c>
    </x:row>
    <x:row r="5" ht="58" customHeight="1">
      <x:c r="A5" s="26" t="str">
        <x:v>academia-battlefield</x:v>
      </x:c>
      <x:c r="B5" s="26" t="str">
        <x:v>The science of ancestry is a battlefield. Read it accordingly.</x:v>
      </x:c>
      <x:c r="C5" s="26" t="str">
        <x:v>Critical</x:v>
      </x:c>
      <x:c r="D5" s="26" t="str"/>
      <x:c r="E5" s="26" t="str">
        <x:v>substantial bibliography, mostly non-linked</x:v>
      </x:c>
      <x:c r="F5" s="26" t="str">
        <x:v>Verify the exact adjacent claim against the cited primary text/data and at least one relevant specialist synthesis; record disagreement and scope.</x:v>
      </x:c>
      <x:c r="G5" s="26" t="str">
        <x:v>Hold</x:v>
      </x:c>
      <x:c r="H5" s="26" t="str">
        <x:v>Unassigned</x:v>
      </x:c>
    </x:row>
    <x:row r="6" ht="58" customHeight="1">
      <x:c r="A6" s="26" t="str">
        <x:v>attribution</x:v>
      </x:c>
      <x:c r="B6" s="26" t="str">
        <x:v>Credit attaches to whoever wrote it down — and to the last one who did, over the first.</x:v>
      </x:c>
      <x:c r="C6" s="26" t="str">
        <x:v>High</x:v>
      </x:c>
      <x:c r="D6" s="26" t="str">
        <x:v>origin/priority/arrival claim; thin or undetected bibliography</x:v>
      </x:c>
      <x:c r="E6" s="26" t="str">
        <x:v>minimal source section</x:v>
      </x:c>
      <x:c r="F6" s="26" t="str">
        <x:v>Verify the exact adjacent claim against the cited primary text/data and at least one relevant specialist synthesis; record disagreement and scope.</x:v>
      </x:c>
      <x:c r="G6" s="26" t="str">
        <x:v>Revise before release</x:v>
      </x:c>
      <x:c r="H6" s="26" t="str">
        <x:v>Unassigned</x:v>
      </x:c>
    </x:row>
    <x:row r="7" ht="58" customHeight="1">
      <x:c r="A7" s="26" t="str">
        <x:v>before-the-indus</x:v>
      </x:c>
      <x:c r="B7" s="26" t="str">
        <x:v>Before the Indus, the graves already faced the sun.</x:v>
      </x:c>
      <x:c r="C7" s="26" t="str">
        <x:v>Critical</x:v>
      </x:c>
      <x:c r="D7" s="26" t="str"/>
      <x:c r="E7" s="26" t="str">
        <x:v>substantial bibliography, mostly non-linked</x:v>
      </x:c>
      <x:c r="F7" s="26" t="str">
        <x:v>Verify the exact adjacent claim against the cited primary text/data and at least one relevant specialist synthesis; record disagreement and scope.</x:v>
      </x:c>
      <x:c r="G7" s="26" t="str">
        <x:v>Hold</x:v>
      </x:c>
      <x:c r="H7" s="26" t="str">
        <x:v>Unassigned</x:v>
      </x:c>
    </x:row>
    <x:row r="8" ht="58" customHeight="1">
      <x:c r="A8" s="26" t="str">
        <x:v>birth-was-not-always-destiny</x:v>
      </x:c>
      <x:c r="B8" s="26" t="str">
        <x:v>Caste was not always by birth. The rigidity was imposed — against a reality that kept breaking it.</x:v>
      </x:c>
      <x:c r="C8" s="26" t="str">
        <x:v>Critical</x:v>
      </x:c>
      <x:c r="D8" s="26" t="str">
        <x:v>absolute/proof language; causal or intentionality language</x:v>
      </x:c>
      <x:c r="E8" s="26" t="str">
        <x:v>substantial bibliography, mostly non-linked</x:v>
      </x:c>
      <x:c r="F8" s="26" t="str">
        <x:v>Verify the exact adjacent claim against the cited primary text/data and at least one relevant specialist synthesis; record disagreement and scope.</x:v>
      </x:c>
      <x:c r="G8" s="26" t="str">
        <x:v>Hold</x:v>
      </x:c>
      <x:c r="H8" s="26" t="str">
        <x:v>Unassigned</x:v>
      </x:c>
    </x:row>
    <x:row r="9" ht="58" customHeight="1">
      <x:c r="A9" s="26" t="str">
        <x:v>brahmi</x:v>
      </x:c>
      <x:c r="B9" s="26" t="str">
        <x:v>The earliest surviving names for the script come from a Buddhist list and a Jain story.</x:v>
      </x:c>
      <x:c r="C9" s="26" t="str">
        <x:v>High</x:v>
      </x:c>
      <x:c r="D9" s="26" t="str">
        <x:v>origin/priority/arrival claim</x:v>
      </x:c>
      <x:c r="E9" s="26" t="str">
        <x:v>limited bibliography</x:v>
      </x:c>
      <x:c r="F9" s="26" t="str">
        <x:v>Verify the exact adjacent claim against the cited primary text/data and at least one relevant specialist synthesis; record disagreement and scope.</x:v>
      </x:c>
      <x:c r="G9" s="26" t="str">
        <x:v>Revise before release</x:v>
      </x:c>
      <x:c r="H9" s="26" t="str">
        <x:v>Unassigned</x:v>
      </x:c>
    </x:row>
    <x:row r="10" ht="58" customHeight="1">
      <x:c r="A10" s="26" t="str">
        <x:v>caste-was-law</x:v>
      </x:c>
      <x:c r="B10" s="26" t="str">
        <x:v>Caste was abuse, encoded as law, disguised as religion.</x:v>
      </x:c>
      <x:c r="C10" s="26" t="str">
        <x:v>Critical</x:v>
      </x:c>
      <x:c r="D10" s="26" t="str">
        <x:v>causal or intentionality language</x:v>
      </x:c>
      <x:c r="E10" s="26" t="str">
        <x:v>substantial bibliography, mostly non-linked</x:v>
      </x:c>
      <x:c r="F10" s="26" t="str">
        <x:v>Verify the exact adjacent claim against the cited primary text/data and at least one relevant specialist synthesis; record disagreement and scope.</x:v>
      </x:c>
      <x:c r="G10" s="26" t="str">
        <x:v>Hold</x:v>
      </x:c>
      <x:c r="H10" s="26" t="str">
        <x:v>Unassigned</x:v>
      </x:c>
    </x:row>
    <x:row r="11" ht="58" customHeight="1">
      <x:c r="A11" s="26" t="str">
        <x:v>collocations</x:v>
      </x:c>
      <x:c r="B11" s="26" t="str">
        <x:v>Words keep company. The company tells you what they are.</x:v>
      </x:c>
      <x:c r="C11" s="26" t="str">
        <x:v>Medium</x:v>
      </x:c>
      <x:c r="D11" s="26" t="str">
        <x:v>thin or undetected bibliography</x:v>
      </x:c>
      <x:c r="E11" s="26" t="str">
        <x:v>no detected source section</x:v>
      </x:c>
      <x:c r="F11" s="26" t="str">
        <x:v>Verify the exact adjacent claim against the cited primary text/data and at least one relevant specialist synthesis; record disagreement and scope.</x:v>
      </x:c>
      <x:c r="G11" s="26" t="str">
        <x:v>Revise before release</x:v>
      </x:c>
      <x:c r="H11" s="26" t="str">
        <x:v>Unassigned</x:v>
      </x:c>
    </x:row>
    <x:row r="12" ht="58" customHeight="1">
      <x:c r="A12" s="26" t="str">
        <x:v>count-it</x:v>
      </x:c>
      <x:c r="B12" s="26" t="str">
        <x:v>How much of the Rigveda is contempt for outsiders?</x:v>
      </x:c>
      <x:c r="C12" s="26" t="str">
        <x:v>Medium</x:v>
      </x:c>
      <x:c r="D12" s="26" t="str">
        <x:v>thin or undetected bibliography</x:v>
      </x:c>
      <x:c r="E12" s="26" t="str">
        <x:v>no detected source section</x:v>
      </x:c>
      <x:c r="F12" s="26" t="str">
        <x:v>Verify the exact adjacent claim against the cited primary text/data and at least one relevant specialist synthesis; record disagreement and scope.</x:v>
      </x:c>
      <x:c r="G12" s="26" t="str">
        <x:v>Revise before release</x:v>
      </x:c>
      <x:c r="H12" s="26" t="str">
        <x:v>Unassigned</x:v>
      </x:c>
    </x:row>
    <x:row r="13" ht="58" customHeight="1">
      <x:c r="A13" s="26" t="str">
        <x:v>elamite</x:v>
      </x:c>
      <x:c r="B13" s="26" t="str">
        <x:v>The working language of the Persian empire, written for 2,300 years and still partly undeciphered.</x:v>
      </x:c>
      <x:c r="C13" s="26" t="str">
        <x:v>Critical</x:v>
      </x:c>
      <x:c r="D13" s="26" t="str">
        <x:v>quantitative claim</x:v>
      </x:c>
      <x:c r="E13" s="26" t="str">
        <x:v>limited bibliography</x:v>
      </x:c>
      <x:c r="F13" s="26" t="str">
        <x:v>Verify the exact adjacent claim against the cited primary text/data and at least one relevant specialist synthesis; record disagreement and scope.</x:v>
      </x:c>
      <x:c r="G13" s="26" t="str">
        <x:v>Hold</x:v>
      </x:c>
      <x:c r="H13" s="26" t="str">
        <x:v>Unassigned</x:v>
      </x:c>
    </x:row>
    <x:row r="14" ht="58" customHeight="1">
      <x:c r="A14" s="26" t="str">
        <x:v>enter</x:v>
      </x:c>
      <x:c r="B14" s="26" t="str">
        <x:v>Evidence, and what it will not support.</x:v>
      </x:c>
      <x:c r="C14" s="26" t="str">
        <x:v>Medium</x:v>
      </x:c>
      <x:c r="D14" s="26" t="str">
        <x:v>thin or undetected bibliography</x:v>
      </x:c>
      <x:c r="E14" s="26" t="str">
        <x:v>minimal source section</x:v>
      </x:c>
      <x:c r="F14" s="26" t="str">
        <x:v>Verify the exact adjacent claim against the cited primary text/data and at least one relevant specialist synthesis; record disagreement and scope.</x:v>
      </x:c>
      <x:c r="G14" s="26" t="str">
        <x:v>Revise before release</x:v>
      </x:c>
      <x:c r="H14" s="26" t="str">
        <x:v>Unassigned</x:v>
      </x:c>
    </x:row>
    <x:row r="15" ht="58" customHeight="1">
      <x:c r="A15" s="26" t="str">
        <x:v>gotra</x:v>
      </x:c>
      <x:c r="B15" s="26" t="str">
        <x:v>The founder effects are at the jāti, not the gotra — and that is exactly what the two rules predict.</x:v>
      </x:c>
      <x:c r="C15" s="26" t="str">
        <x:v>High</x:v>
      </x:c>
      <x:c r="D15" s="26" t="str">
        <x:v>absolute/proof language; thin or undetected bibliography</x:v>
      </x:c>
      <x:c r="E15" s="26" t="str">
        <x:v>no detected source section</x:v>
      </x:c>
      <x:c r="F15" s="26" t="str">
        <x:v>Verify the exact adjacent claim against the cited primary text/data and at least one relevant specialist synthesis; record disagreement and scope.</x:v>
      </x:c>
      <x:c r="G15" s="26" t="str">
        <x:v>Revise before release</x:v>
      </x:c>
      <x:c r="H15" s="26" t="str">
        <x:v>Unassigned</x:v>
      </x:c>
    </x:row>
    <x:row r="16" ht="58" customHeight="1">
      <x:c r="A16" s="26" t="str">
        <x:v>index</x:v>
      </x:c>
      <x:c r="B16" s="26" t="str">
        <x:v>Something was emptied out of this place. Here is what it held. A reproducible museum of ancient South Asia, from Meluhha to Keezhadi.</x:v>
      </x:c>
      <x:c r="C16" s="26" t="str">
        <x:v>Medium</x:v>
      </x:c>
      <x:c r="D16" s="26" t="str">
        <x:v>thin or undetected bibliography</x:v>
      </x:c>
      <x:c r="E16" s="26" t="str">
        <x:v>no detected source section</x:v>
      </x:c>
      <x:c r="F16" s="26" t="str">
        <x:v>Verify the exact adjacent claim against the cited primary text/data and at least one relevant specialist synthesis; record disagreement and scope.</x:v>
      </x:c>
      <x:c r="G16" s="26" t="str">
        <x:v>Revise before release</x:v>
      </x:c>
      <x:c r="H16" s="26" t="str">
        <x:v>Unassigned</x:v>
      </x:c>
    </x:row>
    <x:row r="17" ht="58" customHeight="1">
      <x:c r="A17" s="26" t="str">
        <x:v>kali-yuga</x:v>
      </x:c>
      <x:c r="B17" s="26" t="str">
        <x:v>The date that proves Indian antiquity was calculated in 499 CE with Greek mathematics.</x:v>
      </x:c>
      <x:c r="C17" s="26" t="str">
        <x:v>High</x:v>
      </x:c>
      <x:c r="D17" s="26" t="str">
        <x:v>absolute/proof language; thin or undetected bibliography</x:v>
      </x:c>
      <x:c r="E17" s="26" t="str">
        <x:v>minimal source section</x:v>
      </x:c>
      <x:c r="F17" s="26" t="str">
        <x:v>Verify the exact adjacent claim against the cited primary text/data and at least one relevant specialist synthesis; record disagreement and scope.</x:v>
      </x:c>
      <x:c r="G17" s="26" t="str">
        <x:v>Revise before release</x:v>
      </x:c>
      <x:c r="H17" s="26" t="str">
        <x:v>Unassigned</x:v>
      </x:c>
    </x:row>
    <x:row r="18" ht="58" customHeight="1">
      <x:c r="A18" s="26" t="str">
        <x:v>kural</x:v>
      </x:c>
      <x:c r="B18" s="26" t="str">
        <x:v>Thirteen hundred and thirty couplets on how to live, and the word for caste is not in any of them.</x:v>
      </x:c>
      <x:c r="C18" s="26" t="str">
        <x:v>Medium</x:v>
      </x:c>
      <x:c r="D18" s="26" t="str">
        <x:v>thin or undetected bibliography</x:v>
      </x:c>
      <x:c r="E18" s="26" t="str">
        <x:v>minimal source section</x:v>
      </x:c>
      <x:c r="F18" s="26" t="str">
        <x:v>Verify the exact adjacent claim against the cited primary text/data and at least one relevant specialist synthesis; record disagreement and scope.</x:v>
      </x:c>
      <x:c r="G18" s="26" t="str">
        <x:v>Revise before release</x:v>
      </x:c>
      <x:c r="H18" s="26" t="str">
        <x:v>Unassigned</x:v>
      </x:c>
    </x:row>
    <x:row r="19" ht="58" customHeight="1">
      <x:c r="A19" s="26" t="str">
        <x:v>music</x:v>
      </x:c>
      <x:c r="B19" s="26" t="str">
        <x:v>The Tamil harp is extinct in India and still played in Burma.</x:v>
      </x:c>
      <x:c r="C19" s="26" t="str">
        <x:v>Medium</x:v>
      </x:c>
      <x:c r="D19" s="26" t="str">
        <x:v>thin or undetected bibliography</x:v>
      </x:c>
      <x:c r="E19" s="26" t="str">
        <x:v>no detected source section</x:v>
      </x:c>
      <x:c r="F19" s="26" t="str">
        <x:v>Verify the exact adjacent claim against the cited primary text/data and at least one relevant specialist synthesis; record disagreement and scope.</x:v>
      </x:c>
      <x:c r="G19" s="26" t="str">
        <x:v>Revise before release</x:v>
      </x:c>
      <x:c r="H19" s="26" t="str">
        <x:v>Unassigned</x:v>
      </x:c>
    </x:row>
    <x:row r="20" ht="58" customHeight="1">
      <x:c r="A20" s="26" t="str">
        <x:v>one-verse</x:v>
      </x:c>
      <x:c r="B20" s="26" t="str">
        <x:v>The explicit fourfold varṇa scheme appears together in one Rigvedic verse.</x:v>
      </x:c>
      <x:c r="C20" s="26" t="str">
        <x:v>Medium</x:v>
      </x:c>
      <x:c r="D20" s="26" t="str">
        <x:v>thin or undetected bibliography</x:v>
      </x:c>
      <x:c r="E20" s="26" t="str">
        <x:v>minimal source section</x:v>
      </x:c>
      <x:c r="F20" s="26" t="str">
        <x:v>Verify the exact adjacent claim against the cited primary text/data and at least one relevant specialist synthesis; record disagreement and scope.</x:v>
      </x:c>
      <x:c r="G20" s="26" t="str">
        <x:v>Revise before release</x:v>
      </x:c>
      <x:c r="H20" s="26" t="str">
        <x:v>Unassigned</x:v>
      </x:c>
    </x:row>
    <x:row r="21" ht="58" customHeight="1">
      <x:c r="A21" s="26" t="str">
        <x:v>origin-myths</x:v>
      </x:c>
      <x:c r="B21" s="26" t="str">
        <x:v>Origin myths were made to order — divine ancestry, retrofitted for whoever needed legitimacy.</x:v>
      </x:c>
      <x:c r="C21" s="26" t="str">
        <x:v>Critical</x:v>
      </x:c>
      <x:c r="D21" s="26" t="str"/>
      <x:c r="E21" s="26" t="str">
        <x:v>visible bibliography plus live links</x:v>
      </x:c>
      <x:c r="F21" s="26" t="str">
        <x:v>Verify the exact adjacent claim against the cited primary text/data and at least one relevant specialist synthesis; record disagreement and scope.</x:v>
      </x:c>
      <x:c r="G21" s="26" t="str">
        <x:v>Hold</x:v>
      </x:c>
      <x:c r="H21" s="26" t="str">
        <x:v>Unassigned</x:v>
      </x:c>
    </x:row>
    <x:row r="22" ht="58" customHeight="1">
      <x:c r="A22" s="26" t="str">
        <x:v>paid-in-cattle</x:v>
      </x:c>
      <x:c r="B22" s="26" t="str">
        <x:v>Poets sold reputation for livestock and itemised the fee in the hymn.</x:v>
      </x:c>
      <x:c r="C22" s="26" t="str">
        <x:v>Medium</x:v>
      </x:c>
      <x:c r="D22" s="26" t="str">
        <x:v>thin or undetected bibliography</x:v>
      </x:c>
      <x:c r="E22" s="26" t="str">
        <x:v>no detected source section</x:v>
      </x:c>
      <x:c r="F22" s="26" t="str">
        <x:v>Verify the exact adjacent claim against the cited primary text/data and at least one relevant specialist synthesis; record disagreement and scope.</x:v>
      </x:c>
      <x:c r="G22" s="26" t="str">
        <x:v>Revise before release</x:v>
      </x:c>
      <x:c r="H22" s="26" t="str">
        <x:v>Unassigned</x:v>
      </x:c>
    </x:row>
    <x:row r="23" ht="58" customHeight="1">
      <x:c r="A23" s="26" t="str">
        <x:v>sound-changes</x:v>
      </x:c>
      <x:c r="B23" s="26" t="str">
        <x:v>What the mouth does to a name.</x:v>
      </x:c>
      <x:c r="C23" s="26" t="str">
        <x:v>Medium</x:v>
      </x:c>
      <x:c r="D23" s="26" t="str">
        <x:v>thin or undetected bibliography</x:v>
      </x:c>
      <x:c r="E23" s="26" t="str">
        <x:v>no detected source section</x:v>
      </x:c>
      <x:c r="F23" s="26" t="str">
        <x:v>Verify the exact adjacent claim against the cited primary text/data and at least one relevant specialist synthesis; record disagreement and scope.</x:v>
      </x:c>
      <x:c r="G23" s="26" t="str">
        <x:v>Revise before release</x:v>
      </x:c>
      <x:c r="H23" s="26" t="str">
        <x:v>Unassigned</x:v>
      </x:c>
    </x:row>
    <x:row r="24" ht="58" customHeight="1">
      <x:c r="A24" s="26" t="str">
        <x:v>steppe</x:v>
      </x:c>
      <x:c r="B24" s="26" t="str">
        <x:v>The steppe evidence is a set of dated individuals, not a migration route.</x:v>
      </x:c>
      <x:c r="C24" s="26" t="str">
        <x:v>Medium</x:v>
      </x:c>
      <x:c r="D24" s="26" t="str">
        <x:v>thin or undetected bibliography</x:v>
      </x:c>
      <x:c r="E24" s="26" t="str">
        <x:v>minimal source section</x:v>
      </x:c>
      <x:c r="F24" s="26" t="str">
        <x:v>Verify the exact adjacent claim against the cited primary text/data and at least one relevant specialist synthesis; record disagreement and scope.</x:v>
      </x:c>
      <x:c r="G24" s="26" t="str">
        <x:v>Revise before release</x:v>
      </x:c>
      <x:c r="H24" s="26" t="str">
        <x:v>Unassigned</x:v>
      </x:c>
    </x:row>
    <x:row r="25" ht="58" customHeight="1">
      <x:c r="A25" s="26" t="str">
        <x:v>the-archive</x:v>
      </x:c>
      <x:c r="B25" s="26" t="str">
        <x:v>Everything that survives — and how little of it has been opened.</x:v>
      </x:c>
      <x:c r="C25" s="26" t="str">
        <x:v>Medium</x:v>
      </x:c>
      <x:c r="D25" s="26" t="str">
        <x:v>thin or undetected bibliography</x:v>
      </x:c>
      <x:c r="E25" s="26" t="str">
        <x:v>minimal source section</x:v>
      </x:c>
      <x:c r="F25" s="26" t="str">
        <x:v>Verify the exact adjacent claim against the cited primary text/data and at least one relevant specialist synthesis; record disagreement and scope.</x:v>
      </x:c>
      <x:c r="G25" s="26" t="str">
        <x:v>Revise before release</x:v>
      </x:c>
      <x:c r="H25" s="26" t="str">
        <x:v>Unassigned</x:v>
      </x:c>
    </x:row>
    <x:row r="26" ht="58" customHeight="1">
      <x:c r="A26" s="26" t="str">
        <x:v>the-borrowed-ancestor</x:v>
      </x:c>
      <x:c r="B26" s="26" t="str">
        <x:v>Their own heroes were merged into someone else's story.</x:v>
      </x:c>
      <x:c r="C26" s="26" t="str">
        <x:v>Critical</x:v>
      </x:c>
      <x:c r="D26" s="26" t="str"/>
      <x:c r="E26" s="26" t="str">
        <x:v>visible bibliography plus live links</x:v>
      </x:c>
      <x:c r="F26" s="26" t="str">
        <x:v>Verify the exact adjacent claim against the cited primary text/data and at least one relevant specialist synthesis; record disagreement and scope.</x:v>
      </x:c>
      <x:c r="G26" s="26" t="str">
        <x:v>Hold</x:v>
      </x:c>
      <x:c r="H26" s="26" t="str">
        <x:v>Unassigned</x:v>
      </x:c>
    </x:row>
    <x:row r="27" ht="58" customHeight="1">
      <x:c r="A27" s="26" t="str">
        <x:v>the-firms</x:v>
      </x:c>
      <x:c r="B27" s="26" t="str">
        <x:v>One party bought immortality. The other party got it.</x:v>
      </x:c>
      <x:c r="C27" s="26" t="str">
        <x:v>Critical</x:v>
      </x:c>
      <x:c r="D27" s="26" t="str">
        <x:v>thin or undetected bibliography</x:v>
      </x:c>
      <x:c r="E27" s="26" t="str">
        <x:v>no detected source section</x:v>
      </x:c>
      <x:c r="F27" s="26" t="str">
        <x:v>Verify the exact adjacent claim against the cited primary text/data and at least one relevant specialist synthesis; record disagreement and scope.</x:v>
      </x:c>
      <x:c r="G27" s="26" t="str">
        <x:v>Hold</x:v>
      </x:c>
      <x:c r="H27" s="26" t="str">
        <x:v>Unassigned</x:v>
      </x:c>
    </x:row>
    <x:row r="28" ht="58" customHeight="1">
      <x:c r="A28" s="26" t="str">
        <x:v>the-forts</x:v>
      </x:c>
      <x:c r="B28" s="26" t="str">
        <x:v>Ninety-nine forts, in Indus country, three centuries too late.</x:v>
      </x:c>
      <x:c r="C28" s="26" t="str">
        <x:v>Medium</x:v>
      </x:c>
      <x:c r="D28" s="26" t="str">
        <x:v>thin or undetected bibliography</x:v>
      </x:c>
      <x:c r="E28" s="26" t="str">
        <x:v>minimal source section</x:v>
      </x:c>
      <x:c r="F28" s="26" t="str">
        <x:v>Verify the exact adjacent claim against the cited primary text/data and at least one relevant specialist synthesis; record disagreement and scope.</x:v>
      </x:c>
      <x:c r="G28" s="26" t="str">
        <x:v>Revise before release</x:v>
      </x:c>
      <x:c r="H28" s="26" t="str">
        <x:v>Unassigned</x:v>
      </x:c>
    </x:row>
    <x:row r="29" ht="58" customHeight="1">
      <x:c r="A29" s="26" t="str">
        <x:v>the-killed</x:v>
      </x:c>
      <x:c r="B29" s="26" t="str">
        <x:v>The named enemies hold forts, grain, wives and sons — and the hymns celebrate killing them for pay.</x:v>
      </x:c>
      <x:c r="C29" s="26" t="str">
        <x:v>Critical</x:v>
      </x:c>
      <x:c r="D29" s="26" t="str">
        <x:v>thin or undetected bibliography</x:v>
      </x:c>
      <x:c r="E29" s="26" t="str">
        <x:v>no detected source section</x:v>
      </x:c>
      <x:c r="F29" s="26" t="str">
        <x:v>Verify the exact adjacent claim against the cited primary text/data and at least one relevant specialist synthesis; record disagreement and scope.</x:v>
      </x:c>
      <x:c r="G29" s="26" t="str">
        <x:v>Hold</x:v>
      </x:c>
      <x:c r="H29" s="26" t="str">
        <x:v>Unassigned</x:v>
      </x:c>
    </x:row>
    <x:row r="30" ht="58" customHeight="1">
      <x:c r="A30" s="26" t="str">
        <x:v>the-king-they-claimed</x:v>
      </x:c>
      <x:c r="B30" s="26" t="str">
        <x:v>They built a party around their own forgotten king. Then others claimed him.</x:v>
      </x:c>
      <x:c r="C30" s="26" t="str">
        <x:v>Critical</x:v>
      </x:c>
      <x:c r="D30" s="26" t="str"/>
      <x:c r="E30" s="26" t="str">
        <x:v>limited bibliography</x:v>
      </x:c>
      <x:c r="F30" s="26" t="str">
        <x:v>Verify the exact adjacent claim against the cited primary text/data and at least one relevant specialist synthesis; record disagreement and scope.</x:v>
      </x:c>
      <x:c r="G30" s="26" t="str">
        <x:v>Hold</x:v>
      </x:c>
      <x:c r="H30" s="26" t="str">
        <x:v>Unassigned</x:v>
      </x:c>
    </x:row>
    <x:row r="31" ht="58" customHeight="1">
      <x:c r="A31" s="26" t="str">
        <x:v>the-medicine-question</x:v>
      </x:c>
      <x:c r="B31" s="26" t="str">
        <x:v>Traditional medicine, taken seriously — which means taken critically.</x:v>
      </x:c>
      <x:c r="C31" s="26" t="str">
        <x:v>Critical</x:v>
      </x:c>
      <x:c r="D31" s="26" t="str"/>
      <x:c r="E31" s="26" t="str">
        <x:v>visible bibliography plus live links</x:v>
      </x:c>
      <x:c r="F31" s="26" t="str">
        <x:v>Verify the exact adjacent claim against the cited primary text/data and at least one relevant specialist synthesis; record disagreement and scope.</x:v>
      </x:c>
      <x:c r="G31" s="26" t="str">
        <x:v>Hold</x:v>
      </x:c>
      <x:c r="H31" s="26" t="str">
        <x:v>Unassigned</x:v>
      </x:c>
    </x:row>
    <x:row r="32" ht="58" customHeight="1">
      <x:c r="A32" s="26" t="str">
        <x:v>the-names</x:v>
      </x:c>
      <x:c r="B32" s="26" t="str">
        <x:v>Three of the named enemies have names Sanskrit cannot parse.</x:v>
      </x:c>
      <x:c r="C32" s="26" t="str">
        <x:v>Medium</x:v>
      </x:c>
      <x:c r="D32" s="26" t="str">
        <x:v>thin or undetected bibliography</x:v>
      </x:c>
      <x:c r="E32" s="26" t="str">
        <x:v>minimal source section</x:v>
      </x:c>
      <x:c r="F32" s="26" t="str">
        <x:v>Verify the exact adjacent claim against the cited primary text/data and at least one relevant specialist synthesis; record disagreement and scope.</x:v>
      </x:c>
      <x:c r="G32" s="26" t="str">
        <x:v>Revise before release</x:v>
      </x:c>
      <x:c r="H32" s="26" t="str">
        <x:v>Unassigned</x:v>
      </x:c>
    </x:row>
    <x:row r="33" ht="58" customHeight="1">
      <x:c r="A33" s="26" t="str">
        <x:v>the-narrowing</x:v>
      </x:c>
      <x:c r="B33" s="26" t="str">
        <x:v>Women's status did not fade with time. It was narrowed, on purpose, as land and priesthood hardened.</x:v>
      </x:c>
      <x:c r="C33" s="26" t="str">
        <x:v>Critical</x:v>
      </x:c>
      <x:c r="D33" s="26" t="str"/>
      <x:c r="E33" s="26" t="str">
        <x:v>substantial bibliography, mostly non-linked</x:v>
      </x:c>
      <x:c r="F33" s="26" t="str">
        <x:v>Verify the exact adjacent claim against the cited primary text/data and at least one relevant specialist synthesis; record disagreement and scope.</x:v>
      </x:c>
      <x:c r="G33" s="26" t="str">
        <x:v>Hold</x:v>
      </x:c>
      <x:c r="H33" s="26" t="str">
        <x:v>Unassigned</x:v>
      </x:c>
    </x:row>
    <x:row r="34" ht="58" customHeight="1">
      <x:c r="A34" s="26" t="str">
        <x:v>the-nine-enemies</x:v>
      </x:c>
      <x:c r="B34" s="26" t="str">
        <x:v>Nine men are named as enemies. Each death has a beneficiary.</x:v>
      </x:c>
      <x:c r="C34" s="26" t="str">
        <x:v>Medium</x:v>
      </x:c>
      <x:c r="D34" s="26" t="str">
        <x:v>thin or undetected bibliography</x:v>
      </x:c>
      <x:c r="E34" s="26" t="str">
        <x:v>no detected source section</x:v>
      </x:c>
      <x:c r="F34" s="26" t="str">
        <x:v>Verify the exact adjacent claim against the cited primary text/data and at least one relevant specialist synthesis; record disagreement and scope.</x:v>
      </x:c>
      <x:c r="G34" s="26" t="str">
        <x:v>Revise before release</x:v>
      </x:c>
      <x:c r="H34" s="26" t="str">
        <x:v>Unassigned</x:v>
      </x:c>
    </x:row>
    <x:row r="35" ht="58" customHeight="1">
      <x:c r="A35" s="26" t="str">
        <x:v>the-renaming</x:v>
      </x:c>
      <x:c r="B35" s="26" t="str">
        <x:v>Nothing was forbidden. Everything was renamed.</x:v>
      </x:c>
      <x:c r="C35" s="26" t="str">
        <x:v>Medium</x:v>
      </x:c>
      <x:c r="D35" s="26" t="str">
        <x:v>thin or undetected bibliography</x:v>
      </x:c>
      <x:c r="E35" s="26" t="str">
        <x:v>no detected source section</x:v>
      </x:c>
      <x:c r="F35" s="26" t="str">
        <x:v>Verify the exact adjacent claim against the cited primary text/data and at least one relevant specialist synthesis; record disagreement and scope.</x:v>
      </x:c>
      <x:c r="G35" s="26" t="str">
        <x:v>Revise before release</x:v>
      </x:c>
      <x:c r="H35" s="26" t="str">
        <x:v>Unassigned</x:v>
      </x:c>
    </x:row>
    <x:row r="36" ht="58" customHeight="1">
      <x:c r="A36" s="26" t="str">
        <x:v>therigatha</x:v>
      </x:c>
      <x:c r="B36" s="26" t="str">
        <x:v>Seventy-three poems by named women — and most people have never read one.</x:v>
      </x:c>
      <x:c r="C36" s="26" t="str">
        <x:v>High</x:v>
      </x:c>
      <x:c r="D36" s="26" t="str">
        <x:v>absolute/proof language; thin or undetected bibliography</x:v>
      </x:c>
      <x:c r="E36" s="26" t="str">
        <x:v>minimal source section</x:v>
      </x:c>
      <x:c r="F36" s="26" t="str">
        <x:v>Verify the exact adjacent claim against the cited primary text/data and at least one relevant specialist synthesis; record disagreement and scope.</x:v>
      </x:c>
      <x:c r="G36" s="26" t="str">
        <x:v>Revise before release</x:v>
      </x:c>
      <x:c r="H36" s="26" t="str">
        <x:v>Unassigned</x:v>
      </x:c>
    </x:row>
    <x:row r="37" ht="58" customHeight="1">
      <x:c r="A37" s="26" t="str">
        <x:v>they-already-knew</x:v>
      </x:c>
      <x:c r="B37" s="26" t="str">
        <x:v>They already knew. In 1873, they said it out loud.</x:v>
      </x:c>
      <x:c r="C37" s="26" t="str">
        <x:v>Critical</x:v>
      </x:c>
      <x:c r="D37" s="26" t="str"/>
      <x:c r="E37" s="26" t="str">
        <x:v>substantial bibliography, mostly non-linked</x:v>
      </x:c>
      <x:c r="F37" s="26" t="str">
        <x:v>Verify the exact adjacent claim against the cited primary text/data and at least one relevant specialist synthesis; record disagreement and scope.</x:v>
      </x:c>
      <x:c r="G37" s="26" t="str">
        <x:v>Hold</x:v>
      </x:c>
      <x:c r="H37" s="26" t="str">
        <x:v>Unassigned</x:v>
      </x:c>
    </x:row>
    <x:row r="38" ht="58" customHeight="1">
      <x:c r="A38" s="26" t="str">
        <x:v>what-the-children-are-taught</x:v>
      </x:c>
      <x:c r="B38" s="26" t="str">
        <x:v>A civilisation was renamed in a textbook for eleven-year-olds.</x:v>
      </x:c>
      <x:c r="C38" s="26" t="str">
        <x:v>Medium</x:v>
      </x:c>
      <x:c r="D38" s="26" t="str">
        <x:v>thin or undetected bibliography</x:v>
      </x:c>
      <x:c r="E38" s="26" t="str">
        <x:v>no detected source section</x:v>
      </x:c>
      <x:c r="F38" s="26" t="str">
        <x:v>Verify the exact adjacent claim against the cited primary text/data and at least one relevant specialist synthesis; record disagreement and scope.</x:v>
      </x:c>
      <x:c r="G38" s="26" t="str">
        <x:v>Revise before release</x:v>
      </x:c>
      <x:c r="H38" s="26" t="str">
        <x:v>Unassigned</x:v>
      </x:c>
    </x:row>
    <x:row r="39" ht="58" customHeight="1">
      <x:c r="A39" s="26" t="str">
        <x:v>what-they-had</x:v>
      </x:c>
      <x:c r="B39" s="26" t="str">
        <x:v>No word for the plough until the last layer.</x:v>
      </x:c>
      <x:c r="C39" s="26" t="str">
        <x:v>Medium</x:v>
      </x:c>
      <x:c r="D39" s="26" t="str">
        <x:v>thin or undetected bibliography</x:v>
      </x:c>
      <x:c r="E39" s="26" t="str">
        <x:v>no detected source section</x:v>
      </x:c>
      <x:c r="F39" s="26" t="str">
        <x:v>Verify the exact adjacent claim against the cited primary text/data and at least one relevant specialist synthesis; record disagreement and scope.</x:v>
      </x:c>
      <x:c r="G39" s="26" t="str">
        <x:v>Revise before release</x:v>
      </x:c>
      <x:c r="H39" s="26" t="str">
        <x:v>Unassigned</x:v>
      </x:c>
    </x:row>
    <x:row r="40" ht="58" customHeight="1">
      <x:c r="A40" s="26" t="str">
        <x:v>what-varna-meant</x:v>
      </x:c>
      <x:c r="B40" s="26" t="str">
        <x:v>Varṇa means colour. It never means occupation.</x:v>
      </x:c>
      <x:c r="C40" s="26" t="str">
        <x:v>High</x:v>
      </x:c>
      <x:c r="D40" s="26" t="str">
        <x:v>absolute/proof language; thin or undetected bibliography</x:v>
      </x:c>
      <x:c r="E40" s="26" t="str">
        <x:v>no detected source section</x:v>
      </x:c>
      <x:c r="F40" s="26" t="str">
        <x:v>Verify the exact adjacent claim against the cited primary text/data and at least one relevant specialist synthesis; record disagreement and scope.</x:v>
      </x:c>
      <x:c r="G40" s="26" t="str">
        <x:v>Revise before release</x:v>
      </x:c>
      <x:c r="H40" s="26" t="str">
        <x:v>Unassigned</x:v>
      </x:c>
    </x:row>
    <x:row r="41" ht="58" customHeight="1">
      <x:c r="A41" s="26" t="str">
        <x:v>who-had-it-first</x:v>
      </x:c>
      <x:c r="B41" s="26" t="str">
        <x:v>Who had it first.</x:v>
      </x:c>
      <x:c r="C41" s="26" t="str">
        <x:v>Critical</x:v>
      </x:c>
      <x:c r="D41" s="26" t="str">
        <x:v>origin/priority/arrival claim</x:v>
      </x:c>
      <x:c r="E41" s="26" t="str">
        <x:v>substantial bibliography, mostly non-linked</x:v>
      </x:c>
      <x:c r="F41" s="26" t="str">
        <x:v>Verify the exact adjacent claim against the cited primary text/data and at least one relevant specialist synthesis; record disagreement and scope.</x:v>
      </x:c>
      <x:c r="G41" s="26" t="str">
        <x:v>Hold</x:v>
      </x:c>
      <x:c r="H41" s="26" t="str">
        <x:v>Unassigned</x:v>
      </x:c>
    </x:row>
    <x:row r="42" ht="58" customHeight="1">
      <x:c r="A42" s="27" t="str">
        <x:v>why-the-ranked-defend-the-ranking</x:v>
      </x:c>
      <x:c r="B42" s="27" t="str">
        <x:v>Why do people at the bottom of a hierarchy defend it?</x:v>
      </x:c>
      <x:c r="C42" s="27" t="str">
        <x:v>Critical</x:v>
      </x:c>
      <x:c r="D42" s="27" t="str"/>
      <x:c r="E42" s="27" t="str">
        <x:v>visible bibliography plus live links</x:v>
      </x:c>
      <x:c r="F42" s="27" t="str">
        <x:v>Verify the exact adjacent claim against the cited primary text/data and at least one relevant specialist synthesis; record disagreement and scope.</x:v>
      </x:c>
      <x:c r="G42" s="27" t="str">
        <x:v>Hold</x:v>
      </x:c>
      <x:c r="H42" s="27" t="str">
        <x:v>Unassigned</x:v>
      </x:c>
    </x:row>
  </x:sheetData>
  <x:mergeCells>
    <x:mergeCell ref="A1:H1"/>
    <x:mergeCell ref="A2:H2"/>
  </x:mergeCells>
  <x:conditionalFormatting sqref="C5:C42">
    <x:cfRule type="containsText" dxfId="3" priority="1" operator="containsText" text="Critical"/>
    <x:cfRule type="containsText" dxfId="4" priority="2" operator="containsText" text="High"/>
  </x:conditionalFormatting>
  <x:pageMargins left="0.7" right="0.7" top="0.75" bottom="0.75" header="0.3" footer="0.3"/>
  <x:tableParts count="1">
    <x:tablePart xmlns:r="http://schemas.openxmlformats.org/officeDocument/2006/relationships" r:id="Rd7dfcc77e2fb40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4" hidden="0" customWidth="1"/>
    <x:col min="4" max="4" width="70" hidden="0" customWidth="1"/>
    <x:col min="5" max="5" width="12" hidden="0" customWidth="1"/>
  </x:cols>
  <x:sheetData>
    <x:row r="1" ht="28" customHeight="1">
      <x:c r="A1" s="34" t="str">
        <x:v>Contradiction, consistency and duplication review</x:v>
      </x:c>
      <x:c r="B1" s="34"/>
      <x:c r="C1" s="34"/>
      <x:c r="D1" s="34"/>
      <x:c r="E1" s="34"/>
    </x:row>
    <x:row r="2" ht="34" customHeight="1">
      <x:c r="A2" s="35" t="str">
        <x:v>Clusters are review obligations. Similarity is computational triage, not proof that pages should merge.</x:v>
      </x:c>
      <x:c r="B2" s="35"/>
      <x:c r="C2" s="35"/>
      <x:c r="D2" s="35"/>
      <x:c r="E2" s="35"/>
    </x:row>
    <x:row r="3">
      <x:c r="A3" s="36"/>
      <x:c r="B3" s="36"/>
      <x:c r="C3" s="36"/>
      <x:c r="D3" s="36"/>
      <x:c r="E3" s="36"/>
    </x:row>
    <x:row r="4">
      <x:c r="A4" s="37" t="str">
        <x:v>Cluster</x:v>
      </x:c>
      <x:c r="B4" s="37" t="str">
        <x:v>Pages</x:v>
      </x:c>
      <x:c r="C4" s="37" t="str">
        <x:v>Consistency / contradiction risk</x:v>
      </x:c>
      <x:c r="D4" s="37" t="str">
        <x:v>Recommendation</x:v>
      </x:c>
      <x:c r="E4" s="37" t="str">
        <x:v>Status</x:v>
      </x:c>
    </x:row>
    <x:row r="5" ht="62" customHeight="1">
      <x:c r="A5" s="26" t="str">
        <x:v>Named enemies and forts</x:v>
      </x:c>
      <x:c r="B5" s="26" t="str">
        <x:v>the-killed, the-nine-enemies, the-names, the-forts</x:v>
      </x:c>
      <x:c r="C5" s="26" t="str">
        <x:v>Counts, identities, etymologies, material descriptions and patron-payment language must use one shared ledger.</x:v>
      </x:c>
      <x:c r="D5" s="26" t="str">
        <x:v>Merge nine-enemies into killed; retain names and forts as distinct analytical layers with shared data.</x:v>
      </x:c>
      <x:c r="E5" s="26" t="str">
        <x:v>Open</x:v>
      </x:c>
    </x:row>
    <x:row r="6" ht="62" customHeight="1">
      <x:c r="A6" s="26" t="str">
        <x:v>Criminalisation</x:v>
      </x:c>
      <x:c r="B6" s="26" t="str">
        <x:v>criminalised, criminalised-today</x:v>
      </x:c>
      <x:c r="C6" s="26" t="str">
        <x:v>Substantial topical overlap; verify statute dates, jurisdictions and whether each ritual-to-law comparison is legally exact.</x:v>
      </x:c>
      <x:c r="D6" s="26" t="str">
        <x:v>Merge into one historical-to-present exhibit with dated legal cards.</x:v>
      </x:c>
      <x:c r="E6" s="26" t="str">
        <x:v>Open</x:v>
      </x:c>
    </x:row>
    <x:row r="7" ht="62" customHeight="1">
      <x:c r="A7" s="26" t="str">
        <x:v>Astronomical chronology</x:v>
      </x:c>
      <x:c r="B7" s="26" t="str">
        <x:v>sky, dravidian-sky, kali-yuga, the-computed-dawn</x:v>
      </x:c>
      <x:c r="C7" s="26" t="str">
        <x:v>Keep indigenous naming, transmitted zodiac history and retrocalculated epoch claims distinct; check dates across all four.</x:v>
      </x:c>
      <x:c r="D7" s="26" t="str">
        <x:v>Merge computed-dawn into kali-yuga; cross-link two sky pages with a shared chronology.</x:v>
      </x:c>
      <x:c r="E7" s="26" t="str">
        <x:v>Open</x:v>
      </x:c>
    </x:row>
    <x:row r="8" ht="62" customHeight="1">
      <x:c r="A8" s="26" t="str">
        <x:v>Caste vocabulary corpus</x:v>
      </x:c>
      <x:c r="B8" s="26" t="str">
        <x:v>the-curve, the-later-count, the-words-of-caste, what-varna-meant, jatization, the-late-hymn</x:v>
      </x:c>
      <x:c r="C8" s="26" t="str">
        <x:v>Corpus boundaries, lemma senses, totals and dating must reconcile; commentary contamination and synonym coverage must be identical everywhere.</x:v>
      </x:c>
      <x:c r="D8" s="26" t="str">
        <x:v>Create one claims ledger and split overview, lexical evidence and social interpretation.</x:v>
      </x:c>
      <x:c r="E8" s="26" t="str">
        <x:v>Open</x:v>
      </x:c>
    </x:row>
    <x:row r="9" ht="62" customHeight="1">
      <x:c r="A9" s="26" t="str">
        <x:v>Genetics</x:v>
      </x:c>
      <x:c r="B9" s="26" t="str">
        <x:v>steppe, the-three-ancestries, the-genome-of-caste, endogamy-clock, gotra, academia-battlefield</x:v>
      </x:c>
      <x:c r="C9" s="26" t="str">
        <x:v>Do not treat ancestry components as peoples, languages or moral categories; reconcile sample dates and lab-independence claims.</x:v>
      </x:c>
      <x:c r="D9" s="26" t="str">
        <x:v>Shared genetics methods page plus page-specific claims; expert review required.</x:v>
      </x:c>
      <x:c r="E9" s="26" t="str">
        <x:v>Open</x:v>
      </x:c>
    </x:row>
    <x:row r="10" ht="62" customHeight="1">
      <x:c r="A10" s="26" t="str">
        <x:v>Textual interpolation</x:v>
      </x:c>
      <x:c r="B10" s="26" t="str">
        <x:v>the-edits, the-insertions, one-verse, the-late-hymn, the-womb-doctrine</x:v>
      </x:c>
      <x:c r="C10" s="26" t="str">
        <x:v>Distinguish manuscript variation, philological interpolation, relative chronology and absence from parallel recensions.</x:v>
      </x:c>
      <x:c r="D10" s="26" t="str">
        <x:v>Merge insertions into edits; preserve case studies with shared criteria.</x:v>
      </x:c>
      <x:c r="E10" s="26" t="str">
        <x:v>Open</x:v>
      </x:c>
    </x:row>
    <x:row r="11" ht="62" customHeight="1">
      <x:c r="A11" s="26" t="str">
        <x:v>Meluhha and Indus</x:v>
      </x:c>
      <x:c r="B11" s="26" t="str">
        <x:v>meluhha, meluhha-trade, the-water-city, before-the-indus</x:v>
      </x:c>
      <x:c r="C11" s="26" t="str">
        <x:v>Separate Mesopotamian exonym, trade evidence, Indus urbanism and pre-Indus chronology; do not imply language identity.</x:v>
      </x:c>
      <x:c r="D11" s="26" t="str">
        <x:v>Keep distinct but present as one curated exhibit sequence.</x:v>
      </x:c>
      <x:c r="E11" s="26" t="str">
        <x:v>Open</x:v>
      </x:c>
    </x:row>
    <x:row r="12" ht="62" customHeight="1">
      <x:c r="A12" s="26" t="str">
        <x:v>Language relationship</x:v>
      </x:c>
      <x:c r="B12" s="26" t="str">
        <x:v>sound-changes, two-classical-languages, elamite, the-deep-root, brahmi, one-script-many-kingdoms</x:v>
      </x:c>
      <x:c r="C12" s="26" t="str">
        <x:v>Separate sound correspondence, contact borrowing, substrate inference, genetic relationship and script history.</x:v>
      </x:c>
      <x:c r="D12" s="26" t="str">
        <x:v>Shared methods glossary and confidence labels; specialist linguistic review.</x:v>
      </x:c>
      <x:c r="E12" s="26" t="str">
        <x:v>Open</x:v>
      </x:c>
    </x:row>
    <x:row r="13" ht="62" customHeight="1">
      <x:c r="A13" s="27" t="str">
        <x:v>Institutional authority</x:v>
      </x:c>
      <x:c r="B13" s="27" t="str">
        <x:v>indology, coverage, who-writes-the-textbook, what-the-children-are-taught, the-archive, custody</x:v>
      </x:c>
      <x:c r="C13" s="27" t="str">
        <x:v>Claims about bias, access and suppression must name institutions, dates, evidence and response; avoid treating absence as proof of intent.</x:v>
      </x:c>
      <x:c r="D13" s="27" t="str">
        <x:v>Curated institutional-power exhibit with claim-level documents and right-of-reply field.</x:v>
      </x:c>
      <x:c r="E13" s="27" t="str">
        <x:v>Open</x:v>
      </x:c>
    </x:row>
    <x:row r="14">
      <x:c r="A14" s="36"/>
      <x:c r="B14" s="36"/>
      <x:c r="C14" s="36"/>
      <x:c r="D14" s="36"/>
      <x:c r="E14" s="36"/>
    </x:row>
    <x:row r="15">
      <x:c r="A15" s="36"/>
      <x:c r="B15" s="36"/>
      <x:c r="C15" s="36"/>
      <x:c r="D15" s="36"/>
      <x:c r="E15" s="36"/>
    </x:row>
    <x:row r="16">
      <x:c r="A16" s="38" t="str">
        <x:v>High-similarity page pairs</x:v>
      </x:c>
      <x:c r="B16" s="38"/>
      <x:c r="C16" s="38"/>
      <x:c r="D16" s="38"/>
      <x:c r="E16" s="38"/>
    </x:row>
    <x:row r="17">
      <x:c r="A17" s="37" t="str">
        <x:v>Page A</x:v>
      </x:c>
      <x:c r="B17" s="37" t="str">
        <x:v>Page B</x:v>
      </x:c>
      <x:c r="C17" s="37" t="str">
        <x:v>Text similarity</x:v>
      </x:c>
      <x:c r="D17" s="37" t="str">
        <x:v>Review action</x:v>
      </x:c>
      <x:c r="E17" s="37" t="str">
        <x:v>Status</x:v>
      </x:c>
    </x:row>
    <x:row r="18" ht="34" customHeight="1">
      <x:c r="A18" s="26" t="str">
        <x:v>the-killed</x:v>
      </x:c>
      <x:c r="B18" s="26" t="str">
        <x:v>the-nine-enemies</x:v>
      </x:c>
      <x:c r="C18" s="30" t="n">
        <x:v>0.568</x:v>
      </x:c>
      <x:c r="D18" s="26" t="str">
        <x:v>Review for duplicated claims, evidence and audience purpose.</x:v>
      </x:c>
      <x:c r="E18" s="26" t="str">
        <x:v>Open</x:v>
      </x:c>
    </x:row>
    <x:row r="19" ht="34" customHeight="1">
      <x:c r="A19" s="26" t="str">
        <x:v>criminalised-today</x:v>
      </x:c>
      <x:c r="B19" s="26" t="str">
        <x:v>criminalised</x:v>
      </x:c>
      <x:c r="C19" s="30" t="n">
        <x:v>0.341</x:v>
      </x:c>
      <x:c r="D19" s="26" t="str">
        <x:v>Review for duplicated claims, evidence and audience purpose.</x:v>
      </x:c>
      <x:c r="E19" s="26" t="str">
        <x:v>Open</x:v>
      </x:c>
    </x:row>
    <x:row r="20" ht="34" customHeight="1">
      <x:c r="A20" s="26" t="str">
        <x:v>the-killed</x:v>
      </x:c>
      <x:c r="B20" s="26" t="str">
        <x:v>the-names</x:v>
      </x:c>
      <x:c r="C20" s="30" t="n">
        <x:v>0.333</x:v>
      </x:c>
      <x:c r="D20" s="26" t="str">
        <x:v>Review for duplicated claims, evidence and audience purpose.</x:v>
      </x:c>
      <x:c r="E20" s="26" t="str">
        <x:v>Open</x:v>
      </x:c>
    </x:row>
    <x:row r="21" ht="34" customHeight="1">
      <x:c r="A21" s="26" t="str">
        <x:v>dravidian-sky</x:v>
      </x:c>
      <x:c r="B21" s="26" t="str">
        <x:v>sky</x:v>
      </x:c>
      <x:c r="C21" s="30" t="n">
        <x:v>0.331</x:v>
      </x:c>
      <x:c r="D21" s="26" t="str">
        <x:v>Review for duplicated claims, evidence and audience purpose.</x:v>
      </x:c>
      <x:c r="E21" s="26" t="str">
        <x:v>Open</x:v>
      </x:c>
    </x:row>
    <x:row r="22" ht="34" customHeight="1">
      <x:c r="A22" s="26" t="str">
        <x:v>what-the-children-are-taught</x:v>
      </x:c>
      <x:c r="B22" s="26" t="str">
        <x:v>who-writes-the-textbook</x:v>
      </x:c>
      <x:c r="C22" s="30" t="n">
        <x:v>0.309</x:v>
      </x:c>
      <x:c r="D22" s="26" t="str">
        <x:v>Review for duplicated claims, evidence and audience purpose.</x:v>
      </x:c>
      <x:c r="E22" s="26" t="str">
        <x:v>Open</x:v>
      </x:c>
    </x:row>
    <x:row r="23" ht="34" customHeight="1">
      <x:c r="A23" s="26" t="str">
        <x:v>the-languages-we-lost</x:v>
      </x:c>
      <x:c r="B23" s="26" t="str">
        <x:v>the-vedda</x:v>
      </x:c>
      <x:c r="C23" s="30" t="n">
        <x:v>0.301</x:v>
      </x:c>
      <x:c r="D23" s="26" t="str">
        <x:v>Review for duplicated claims, evidence and audience purpose.</x:v>
      </x:c>
      <x:c r="E23" s="26" t="str">
        <x:v>Open</x:v>
      </x:c>
    </x:row>
    <x:row r="24" ht="34" customHeight="1">
      <x:c r="A24" s="26" t="str">
        <x:v>the-late-hymn</x:v>
      </x:c>
      <x:c r="B24" s="26" t="str">
        <x:v>the-words-of-caste</x:v>
      </x:c>
      <x:c r="C24" s="30" t="n">
        <x:v>0.276</x:v>
      </x:c>
      <x:c r="D24" s="26" t="str">
        <x:v>Review for duplicated claims, evidence and audience purpose.</x:v>
      </x:c>
      <x:c r="E24" s="26" t="str">
        <x:v>Open</x:v>
      </x:c>
    </x:row>
    <x:row r="25" ht="34" customHeight="1">
      <x:c r="A25" s="26" t="str">
        <x:v>the-names</x:v>
      </x:c>
      <x:c r="B25" s="26" t="str">
        <x:v>the-nine-enemies</x:v>
      </x:c>
      <x:c r="C25" s="30" t="n">
        <x:v>0.272</x:v>
      </x:c>
      <x:c r="D25" s="26" t="str">
        <x:v>Review for duplicated claims, evidence and audience purpose.</x:v>
      </x:c>
      <x:c r="E25" s="26" t="str">
        <x:v>Open</x:v>
      </x:c>
    </x:row>
    <x:row r="26" ht="34" customHeight="1">
      <x:c r="A26" s="26" t="str">
        <x:v>paid-in-cattle</x:v>
      </x:c>
      <x:c r="B26" s="26" t="str">
        <x:v>the-firms</x:v>
      </x:c>
      <x:c r="C26" s="30" t="n">
        <x:v>0.271</x:v>
      </x:c>
      <x:c r="D26" s="26" t="str">
        <x:v>Review for duplicated claims, evidence and audience purpose.</x:v>
      </x:c>
      <x:c r="E26" s="26" t="str">
        <x:v>Open</x:v>
      </x:c>
    </x:row>
    <x:row r="27" ht="34" customHeight="1">
      <x:c r="A27" s="26" t="str">
        <x:v>attribution</x:v>
      </x:c>
      <x:c r="B27" s="26" t="str">
        <x:v>the-unwritten</x:v>
      </x:c>
      <x:c r="C27" s="30" t="n">
        <x:v>0.266</x:v>
      </x:c>
      <x:c r="D27" s="26" t="str">
        <x:v>Review for duplicated claims, evidence and audience purpose.</x:v>
      </x:c>
      <x:c r="E27" s="26" t="str">
        <x:v>Open</x:v>
      </x:c>
    </x:row>
    <x:row r="28" ht="34" customHeight="1">
      <x:c r="A28" s="26" t="str">
        <x:v>one-verse</x:v>
      </x:c>
      <x:c r="B28" s="26" t="str">
        <x:v>the-insertions</x:v>
      </x:c>
      <x:c r="C28" s="30" t="n">
        <x:v>0.262</x:v>
      </x:c>
      <x:c r="D28" s="26" t="str">
        <x:v>Review for duplicated claims, evidence and audience purpose.</x:v>
      </x:c>
      <x:c r="E28" s="26" t="str">
        <x:v>Open</x:v>
      </x:c>
    </x:row>
    <x:row r="29" ht="34" customHeight="1">
      <x:c r="A29" s="26" t="str">
        <x:v>criminalised</x:v>
      </x:c>
      <x:c r="B29" s="26" t="str">
        <x:v>the-firms</x:v>
      </x:c>
      <x:c r="C29" s="30" t="n">
        <x:v>0.261</x:v>
      </x:c>
      <x:c r="D29" s="26" t="str">
        <x:v>Review for duplicated claims, evidence and audience purpose.</x:v>
      </x:c>
      <x:c r="E29" s="26" t="str">
        <x:v>Open</x:v>
      </x:c>
    </x:row>
    <x:row r="30" ht="34" customHeight="1">
      <x:c r="A30" s="26" t="str">
        <x:v>count-it</x:v>
      </x:c>
      <x:c r="B30" s="26" t="str">
        <x:v>paid-in-cattle</x:v>
      </x:c>
      <x:c r="C30" s="30" t="n">
        <x:v>0.251</x:v>
      </x:c>
      <x:c r="D30" s="26" t="str">
        <x:v>Review for duplicated claims, evidence and audience purpose.</x:v>
      </x:c>
      <x:c r="E30" s="26" t="str">
        <x:v>Open</x:v>
      </x:c>
    </x:row>
    <x:row r="31" ht="34" customHeight="1">
      <x:c r="A31" s="26" t="str">
        <x:v>meluhha-trade</x:v>
      </x:c>
      <x:c r="B31" s="26" t="str">
        <x:v>meluhha</x:v>
      </x:c>
      <x:c r="C31" s="30" t="n">
        <x:v>0.251</x:v>
      </x:c>
      <x:c r="D31" s="26" t="str">
        <x:v>Review for duplicated claims, evidence and audience purpose.</x:v>
      </x:c>
      <x:c r="E31" s="26" t="str">
        <x:v>Open</x:v>
      </x:c>
    </x:row>
    <x:row r="32" ht="34" customHeight="1">
      <x:c r="A32" s="26" t="str">
        <x:v>jatization</x:v>
      </x:c>
      <x:c r="B32" s="26" t="str">
        <x:v>the-later-count</x:v>
      </x:c>
      <x:c r="C32" s="30" t="n">
        <x:v>0.243</x:v>
      </x:c>
      <x:c r="D32" s="26" t="str">
        <x:v>Review for duplicated claims, evidence and audience purpose.</x:v>
      </x:c>
      <x:c r="E32" s="26" t="str">
        <x:v>Open</x:v>
      </x:c>
    </x:row>
    <x:row r="33" ht="34" customHeight="1">
      <x:c r="A33" s="26" t="str">
        <x:v>custody</x:v>
      </x:c>
      <x:c r="B33" s="26" t="str">
        <x:v>the-mechanism</x:v>
      </x:c>
      <x:c r="C33" s="30" t="n">
        <x:v>0.228</x:v>
      </x:c>
      <x:c r="D33" s="26" t="str">
        <x:v>Review for duplicated claims, evidence and audience purpose.</x:v>
      </x:c>
      <x:c r="E33" s="26" t="str">
        <x:v>Open</x:v>
      </x:c>
    </x:row>
    <x:row r="34" ht="34" customHeight="1">
      <x:c r="A34" s="26" t="str">
        <x:v>one-verse</x:v>
      </x:c>
      <x:c r="B34" s="26" t="str">
        <x:v>the-edits</x:v>
      </x:c>
      <x:c r="C34" s="30" t="n">
        <x:v>0.228</x:v>
      </x:c>
      <x:c r="D34" s="26" t="str">
        <x:v>Review for duplicated claims, evidence and audience purpose.</x:v>
      </x:c>
      <x:c r="E34" s="26" t="str">
        <x:v>Open</x:v>
      </x:c>
    </x:row>
    <x:row r="35" ht="34" customHeight="1">
      <x:c r="A35" s="26" t="str">
        <x:v>the-forts</x:v>
      </x:c>
      <x:c r="B35" s="26" t="str">
        <x:v>the-names</x:v>
      </x:c>
      <x:c r="C35" s="30" t="n">
        <x:v>0.214</x:v>
      </x:c>
      <x:c r="D35" s="26" t="str">
        <x:v>Review for duplicated claims, evidence and audience purpose.</x:v>
      </x:c>
      <x:c r="E35" s="26" t="str">
        <x:v>Open</x:v>
      </x:c>
    </x:row>
    <x:row r="36" ht="34" customHeight="1">
      <x:c r="A36" s="26" t="str">
        <x:v>the-edits</x:v>
      </x:c>
      <x:c r="B36" s="26" t="str">
        <x:v>the-insertions</x:v>
      </x:c>
      <x:c r="C36" s="30" t="n">
        <x:v>0.21</x:v>
      </x:c>
      <x:c r="D36" s="26" t="str">
        <x:v>Review for duplicated claims, evidence and audience purpose.</x:v>
      </x:c>
      <x:c r="E36" s="26" t="str">
        <x:v>Open</x:v>
      </x:c>
    </x:row>
    <x:row r="37" ht="34" customHeight="1">
      <x:c r="A37" s="26" t="str">
        <x:v>kali-yuga</x:v>
      </x:c>
      <x:c r="B37" s="26" t="str">
        <x:v>the-computed-dawn</x:v>
      </x:c>
      <x:c r="C37" s="30" t="n">
        <x:v>0.202</x:v>
      </x:c>
      <x:c r="D37" s="26" t="str">
        <x:v>Review for duplicated claims, evidence and audience purpose.</x:v>
      </x:c>
      <x:c r="E37" s="26" t="str">
        <x:v>Open</x:v>
      </x:c>
    </x:row>
    <x:row r="38" ht="34" customHeight="1">
      <x:c r="A38" s="26" t="str">
        <x:v>the-forts</x:v>
      </x:c>
      <x:c r="B38" s="26" t="str">
        <x:v>the-killed</x:v>
      </x:c>
      <x:c r="C38" s="30" t="n">
        <x:v>0.202</x:v>
      </x:c>
      <x:c r="D38" s="26" t="str">
        <x:v>Review for duplicated claims, evidence and audience purpose.</x:v>
      </x:c>
      <x:c r="E38" s="26" t="str">
        <x:v>Open</x:v>
      </x:c>
    </x:row>
    <x:row r="39" ht="34" customHeight="1">
      <x:c r="A39" s="26" t="str">
        <x:v>the-forts</x:v>
      </x:c>
      <x:c r="B39" s="26" t="str">
        <x:v>the-map-in-the-text</x:v>
      </x:c>
      <x:c r="C39" s="30" t="n">
        <x:v>0.202</x:v>
      </x:c>
      <x:c r="D39" s="26" t="str">
        <x:v>Review for duplicated claims, evidence and audience purpose.</x:v>
      </x:c>
      <x:c r="E39" s="26" t="str">
        <x:v>Open</x:v>
      </x:c>
    </x:row>
    <x:row r="40" ht="34" customHeight="1">
      <x:c r="A40" s="27" t="str">
        <x:v>the-renaming</x:v>
      </x:c>
      <x:c r="B40" s="27" t="str">
        <x:v>who-is-speaking</x:v>
      </x:c>
      <x:c r="C40" s="31" t="n">
        <x:v>0.2</x:v>
      </x:c>
      <x:c r="D40" s="27" t="str">
        <x:v>Review for duplicated claims, evidence and audience purpose.</x:v>
      </x:c>
      <x:c r="E40" s="27" t="str">
        <x:v>Open</x:v>
      </x:c>
    </x:row>
  </x:sheetData>
  <x:mergeCells>
    <x:mergeCell ref="A1:E1"/>
    <x:mergeCell ref="A2:E2"/>
    <x:mergeCell ref="A16:E16"/>
  </x:mergeCells>
  <x:pageMargins left="0.7" right="0.7" top="0.75" bottom="0.75" header="0.3" footer="0.3"/>
  <x:tableParts count="2">
    <x:tablePart xmlns:r="http://schemas.openxmlformats.org/officeDocument/2006/relationships" r:id="R2ff33e5b2f964adc"/>
    <x:tablePart xmlns:r="http://schemas.openxmlformats.org/officeDocument/2006/relationships" r:id="R1fef2ebbcc2f467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58" hidden="0" customWidth="1"/>
    <x:col min="4" max="4" width="72" hidden="0" customWidth="1"/>
    <x:col min="5" max="5" width="12" hidden="0" customWidth="1"/>
    <x:col min="6" max="6" width="34" hidden="0" customWidth="1"/>
    <x:col min="7" max="7" width="14" hidden="0" customWidth="1"/>
  </x:cols>
  <x:sheetData>
    <x:row r="1" ht="28" customHeight="1">
      <x:c r="A1" s="34" t="str">
        <x:v>Visual-asset sourcing and commissioning register</x:v>
      </x:c>
      <x:c r="B1" s="34"/>
      <x:c r="C1" s="34"/>
      <x:c r="D1" s="34"/>
      <x:c r="E1" s="34"/>
      <x:c r="F1" s="34"/>
      <x:c r="G1" s="34"/>
    </x:row>
    <x:row r="2" ht="34" customHeight="1">
      <x:c r="A2" s="35" t="str">
        <x:v>Every page has a required asset class; production assets still need source, rights, credit and evidence metadata.</x:v>
      </x:c>
      <x:c r="B2" s="35"/>
      <x:c r="C2" s="35"/>
      <x:c r="D2" s="35"/>
      <x:c r="E2" s="35"/>
      <x:c r="F2" s="35"/>
      <x:c r="G2" s="35"/>
    </x:row>
    <x:row r="3">
      <x:c r="A3" s="36"/>
      <x:c r="B3" s="36"/>
      <x:c r="C3" s="36"/>
      <x:c r="D3" s="36"/>
      <x:c r="E3" s="36"/>
      <x:c r="F3" s="36"/>
      <x:c r="G3" s="36"/>
    </x:row>
    <x:row r="4">
      <x:c r="A4" s="37" t="str">
        <x:v>Slug</x:v>
      </x:c>
      <x:c r="B4" s="37" t="str">
        <x:v>Environment</x:v>
      </x:c>
      <x:c r="C4" s="37" t="str">
        <x:v>Required asset set</x:v>
      </x:c>
      <x:c r="D4" s="37" t="str">
        <x:v>Documentary standard</x:v>
      </x:c>
      <x:c r="E4" s="37" t="str">
        <x:v>Priority</x:v>
      </x:c>
      <x:c r="F4" s="37" t="str">
        <x:v>Source / commission route</x:v>
      </x:c>
      <x:c r="G4" s="37" t="str">
        <x:v>Status</x:v>
      </x:c>
    </x:row>
    <x:row r="5" ht="50" customHeight="1">
      <x:c r="A5" s="26" t="str">
        <x:v>academia-battlefield</x:v>
      </x:c>
      <x:c r="B5" s="26" t="str">
        <x:v>Extraction / Collection</x:v>
      </x:c>
      <x:c r="C5" s="26" t="str">
        <x:v>collection record; accession/custody document; object image rights; institutional correspondence; access-status evidence</x:v>
      </x:c>
      <x:c r="D5" s="26" t="str">
        <x:v>Verified source, licence, credit, alt text, claim supported, date/place, manipulation disclosure</x:v>
      </x:c>
      <x:c r="E5" s="26" t="str">
        <x:v>High</x:v>
      </x:c>
      <x:c r="F5" s="26" t="str">
        <x:v>To research</x:v>
      </x:c>
      <x:c r="G5" s="26" t="str">
        <x:v>Needed</x:v>
      </x:c>
    </x:row>
    <x:row r="6" ht="50" customHeight="1">
      <x:c r="A6" s="26" t="str">
        <x:v>artifact-atlas</x:v>
      </x:c>
      <x:c r="B6" s="26" t="str">
        <x:v>Living Signal Field</x:v>
      </x:c>
      <x:c r="C6" s="26" t="str">
        <x:v>verified dataset; accessible SVG/map; legend; mobile alternative; downloadable table</x:v>
      </x:c>
      <x:c r="D6" s="26" t="str">
        <x:v>Verified source, licence, credit, alt text, claim supported, date/place, manipulation disclosure</x:v>
      </x:c>
      <x:c r="E6" s="26" t="str">
        <x:v>MVP</x:v>
      </x:c>
      <x:c r="F6" s="26" t="str">
        <x:v>To research</x:v>
      </x:c>
      <x:c r="G6" s="26" t="str">
        <x:v>Needed</x:v>
      </x:c>
    </x:row>
    <x:row r="7" ht="50" customHeight="1">
      <x:c r="A7" s="26" t="str">
        <x:v>attribution</x:v>
      </x:c>
      <x:c r="B7" s="26" t="str">
        <x:v>Reading Room</x:v>
      </x:c>
      <x:c r="C7" s="26" t="str">
        <x:v>opening atmosphere asset; claim-specific diagram; source facsimile; social card</x:v>
      </x:c>
      <x:c r="D7" s="26" t="str">
        <x:v>Verified source, licence, credit, alt text, claim supported, date/place, manipulation disclosure</x:v>
      </x:c>
      <x:c r="E7" s="26" t="str">
        <x:v>High</x:v>
      </x:c>
      <x:c r="F7" s="26" t="str">
        <x:v>To research</x:v>
      </x:c>
      <x:c r="G7" s="26" t="str">
        <x:v>Needed</x:v>
      </x:c>
    </x:row>
    <x:row r="8" ht="50" customHeight="1">
      <x:c r="A8" s="26" t="str">
        <x:v>before-the-indus</x:v>
      </x:c>
      <x:c r="B8" s="26" t="str">
        <x:v>Nocturnal Veḷi</x:v>
      </x:c>
      <x:c r="C8" s="26" t="str">
        <x:v>opening atmosphere asset; claim-specific diagram; source facsimile; social card</x:v>
      </x:c>
      <x:c r="D8" s="26" t="str">
        <x:v>Verified source, licence, credit, alt text, claim supported, date/place, manipulation disclosure</x:v>
      </x:c>
      <x:c r="E8" s="26" t="str">
        <x:v>MVP</x:v>
      </x:c>
      <x:c r="F8" s="26" t="str">
        <x:v>To research</x:v>
      </x:c>
      <x:c r="G8" s="26" t="str">
        <x:v>Needed</x:v>
      </x:c>
    </x:row>
    <x:row r="9" ht="50" customHeight="1">
      <x:c r="A9" s="26" t="str">
        <x:v>birth-was-not-always-destiny</x:v>
      </x:c>
      <x:c r="B9" s="26" t="str">
        <x:v>Tamil Retrofuture</x:v>
      </x:c>
      <x:c r="C9" s="26" t="str">
        <x:v>primary-text facsimile; translation excerpt rights; editorial illustration or print ephemera where appropriate</x:v>
      </x:c>
      <x:c r="D9" s="26" t="str">
        <x:v>Verified source, licence, credit, alt text, claim supported, date/place, manipulation disclosure</x:v>
      </x:c>
      <x:c r="E9" s="26" t="str">
        <x:v>High</x:v>
      </x:c>
      <x:c r="F9" s="26" t="str">
        <x:v>To research</x:v>
      </x:c>
      <x:c r="G9" s="26" t="str">
        <x:v>Needed</x:v>
      </x:c>
    </x:row>
    <x:row r="10" ht="50" customHeight="1">
      <x:c r="A10" s="26" t="str">
        <x:v>brahmavadini</x:v>
      </x:c>
      <x:c r="B10" s="26" t="str">
        <x:v>Reading Room</x:v>
      </x:c>
      <x:c r="C10" s="26" t="str">
        <x:v>opening atmosphere asset; claim-specific diagram; source facsimile; social card</x:v>
      </x:c>
      <x:c r="D10" s="26" t="str">
        <x:v>Verified source, licence, credit, alt text, claim supported, date/place, manipulation disclosure</x:v>
      </x:c>
      <x:c r="E10" s="26" t="str">
        <x:v>Later</x:v>
      </x:c>
      <x:c r="F10" s="26" t="str">
        <x:v>To research</x:v>
      </x:c>
      <x:c r="G10" s="26" t="str">
        <x:v>Needed</x:v>
      </x:c>
    </x:row>
    <x:row r="11" ht="50" customHeight="1">
      <x:c r="A11" s="26" t="str">
        <x:v>brahmi</x:v>
      </x:c>
      <x:c r="B11" s="26" t="str">
        <x:v>Nocturnal Veḷi</x:v>
      </x:c>
      <x:c r="C11" s="26" t="str">
        <x:v>manuscript/inscription image; glyph diagram; language map; pronunciation audio where licensed</x:v>
      </x:c>
      <x:c r="D11" s="26" t="str">
        <x:v>Verified source, licence, credit, alt text, claim supported, date/place, manipulation disclosure</x:v>
      </x:c>
      <x:c r="E11" s="26" t="str">
        <x:v>High</x:v>
      </x:c>
      <x:c r="F11" s="26" t="str">
        <x:v>To research</x:v>
      </x:c>
      <x:c r="G11" s="26" t="str">
        <x:v>Needed</x:v>
      </x:c>
    </x:row>
    <x:row r="12" ht="50" customHeight="1">
      <x:c r="A12" s="26" t="str">
        <x:v>bronkhorst</x:v>
      </x:c>
      <x:c r="B12" s="26" t="str">
        <x:v>Reading Room</x:v>
      </x:c>
      <x:c r="C12" s="26" t="str">
        <x:v>opening atmosphere asset; claim-specific diagram; source facsimile; social card</x:v>
      </x:c>
      <x:c r="D12" s="26" t="str">
        <x:v>Verified source, licence, credit, alt text, claim supported, date/place, manipulation disclosure</x:v>
      </x:c>
      <x:c r="E12" s="26" t="str">
        <x:v>Later</x:v>
      </x:c>
      <x:c r="F12" s="26" t="str">
        <x:v>To research</x:v>
      </x:c>
      <x:c r="G12" s="26" t="str">
        <x:v>Needed</x:v>
      </x:c>
    </x:row>
    <x:row r="13" ht="50" customHeight="1">
      <x:c r="A13" s="26" t="str">
        <x:v>caste-was-law</x:v>
      </x:c>
      <x:c r="B13" s="26" t="str">
        <x:v>Tamil Retrofuture</x:v>
      </x:c>
      <x:c r="C13" s="26" t="str">
        <x:v>primary-text facsimile; translation excerpt rights; editorial illustration or print ephemera where appropriate</x:v>
      </x:c>
      <x:c r="D13" s="26" t="str">
        <x:v>Verified source, licence, credit, alt text, claim supported, date/place, manipulation disclosure</x:v>
      </x:c>
      <x:c r="E13" s="26" t="str">
        <x:v>High</x:v>
      </x:c>
      <x:c r="F13" s="26" t="str">
        <x:v>To research</x:v>
      </x:c>
      <x:c r="G13" s="26" t="str">
        <x:v>Needed</x:v>
      </x:c>
    </x:row>
    <x:row r="14" ht="50" customHeight="1">
      <x:c r="A14" s="26" t="str">
        <x:v>climbing-the-ladder</x:v>
      </x:c>
      <x:c r="B14" s="26" t="str">
        <x:v>Tamil Retrofuture</x:v>
      </x:c>
      <x:c r="C14" s="26" t="str">
        <x:v>primary-text facsimile; translation excerpt rights; editorial illustration or print ephemera where appropriate</x:v>
      </x:c>
      <x:c r="D14" s="26" t="str">
        <x:v>Verified source, licence, credit, alt text, claim supported, date/place, manipulation disclosure</x:v>
      </x:c>
      <x:c r="E14" s="26" t="str">
        <x:v>Later</x:v>
      </x:c>
      <x:c r="F14" s="26" t="str">
        <x:v>To research</x:v>
      </x:c>
      <x:c r="G14" s="26" t="str">
        <x:v>Needed</x:v>
      </x:c>
    </x:row>
    <x:row r="15" ht="50" customHeight="1">
      <x:c r="A15" s="26" t="str">
        <x:v>collocations</x:v>
      </x:c>
      <x:c r="B15" s="26" t="str">
        <x:v>Living Signal Field</x:v>
      </x:c>
      <x:c r="C15" s="26" t="str">
        <x:v>verified dataset; accessible SVG/map; legend; mobile alternative; downloadable table</x:v>
      </x:c>
      <x:c r="D15" s="26" t="str">
        <x:v>Verified source, licence, credit, alt text, claim supported, date/place, manipulation disclosure</x:v>
      </x:c>
      <x:c r="E15" s="26" t="str">
        <x:v>Later</x:v>
      </x:c>
      <x:c r="F15" s="26" t="str">
        <x:v>To research</x:v>
      </x:c>
      <x:c r="G15" s="26" t="str">
        <x:v>Needed</x:v>
      </x:c>
    </x:row>
    <x:row r="16" ht="50" customHeight="1">
      <x:c r="A16" s="26" t="str">
        <x:v>count-it</x:v>
      </x:c>
      <x:c r="B16" s="26" t="str">
        <x:v>Reading Room</x:v>
      </x:c>
      <x:c r="C16" s="26" t="str">
        <x:v>opening atmosphere asset; claim-specific diagram; source facsimile; social card</x:v>
      </x:c>
      <x:c r="D16" s="26" t="str">
        <x:v>Verified source, licence, credit, alt text, claim supported, date/place, manipulation disclosure</x:v>
      </x:c>
      <x:c r="E16" s="26" t="str">
        <x:v>Later</x:v>
      </x:c>
      <x:c r="F16" s="26" t="str">
        <x:v>To research</x:v>
      </x:c>
      <x:c r="G16" s="26" t="str">
        <x:v>Needed</x:v>
      </x:c>
    </x:row>
    <x:row r="17" ht="50" customHeight="1">
      <x:c r="A17" s="26" t="str">
        <x:v>coverage</x:v>
      </x:c>
      <x:c r="B17" s="26" t="str">
        <x:v>Reading Room</x:v>
      </x:c>
      <x:c r="C17" s="26" t="str">
        <x:v>opening atmosphere asset; claim-specific diagram; source facsimile; social card</x:v>
      </x:c>
      <x:c r="D17" s="26" t="str">
        <x:v>Verified source, licence, credit, alt text, claim supported, date/place, manipulation disclosure</x:v>
      </x:c>
      <x:c r="E17" s="26" t="str">
        <x:v>Later</x:v>
      </x:c>
      <x:c r="F17" s="26" t="str">
        <x:v>To research</x:v>
      </x:c>
      <x:c r="G17" s="26" t="str">
        <x:v>Needed</x:v>
      </x:c>
    </x:row>
    <x:row r="18" ht="50" customHeight="1">
      <x:c r="A18" s="26" t="str">
        <x:v>criminalised-today</x:v>
      </x:c>
      <x:c r="B18" s="26" t="str">
        <x:v>Reconnection</x:v>
      </x:c>
      <x:c r="C18" s="26" t="str">
        <x:v>opening atmosphere asset; claim-specific diagram; source facsimile; social card</x:v>
      </x:c>
      <x:c r="D18" s="26" t="str">
        <x:v>Verified source, licence, credit, alt text, claim supported, date/place, manipulation disclosure</x:v>
      </x:c>
      <x:c r="E18" s="26" t="str">
        <x:v>Later</x:v>
      </x:c>
      <x:c r="F18" s="26" t="str">
        <x:v>To research</x:v>
      </x:c>
      <x:c r="G18" s="26" t="str">
        <x:v>Needed</x:v>
      </x:c>
    </x:row>
    <x:row r="19" ht="50" customHeight="1">
      <x:c r="A19" s="26" t="str">
        <x:v>criminalised</x:v>
      </x:c>
      <x:c r="B19" s="26" t="str">
        <x:v>Tamil Retrofuture</x:v>
      </x:c>
      <x:c r="C19" s="26" t="str">
        <x:v>primary-text facsimile; translation excerpt rights; editorial illustration or print ephemera where appropriate</x:v>
      </x:c>
      <x:c r="D19" s="26" t="str">
        <x:v>Verified source, licence, credit, alt text, claim supported, date/place, manipulation disclosure</x:v>
      </x:c>
      <x:c r="E19" s="26" t="str">
        <x:v>Later</x:v>
      </x:c>
      <x:c r="F19" s="26" t="str">
        <x:v>To research</x:v>
      </x:c>
      <x:c r="G19" s="26" t="str">
        <x:v>Needed</x:v>
      </x:c>
    </x:row>
    <x:row r="20" ht="50" customHeight="1">
      <x:c r="A20" s="26" t="str">
        <x:v>custody</x:v>
      </x:c>
      <x:c r="B20" s="26" t="str">
        <x:v>Extraction / Collection</x:v>
      </x:c>
      <x:c r="C20" s="26" t="str">
        <x:v>collection record; accession/custody document; object image rights; institutional correspondence; access-status evidence</x:v>
      </x:c>
      <x:c r="D20" s="26" t="str">
        <x:v>Verified source, licence, credit, alt text, claim supported, date/place, manipulation disclosure</x:v>
      </x:c>
      <x:c r="E20" s="26" t="str">
        <x:v>MVP</x:v>
      </x:c>
      <x:c r="F20" s="26" t="str">
        <x:v>To research</x:v>
      </x:c>
      <x:c r="G20" s="26" t="str">
        <x:v>Needed</x:v>
      </x:c>
    </x:row>
    <x:row r="21" ht="50" customHeight="1">
      <x:c r="A21" s="26" t="str">
        <x:v>dravidian-sky</x:v>
      </x:c>
      <x:c r="B21" s="26" t="str">
        <x:v>Nocturnal Veḷi</x:v>
      </x:c>
      <x:c r="C21" s="26" t="str">
        <x:v>opening atmosphere asset; claim-specific diagram; source facsimile; social card</x:v>
      </x:c>
      <x:c r="D21" s="26" t="str">
        <x:v>Verified source, licence, credit, alt text, claim supported, date/place, manipulation disclosure</x:v>
      </x:c>
      <x:c r="E21" s="26" t="str">
        <x:v>Later</x:v>
      </x:c>
      <x:c r="F21" s="26" t="str">
        <x:v>To research</x:v>
      </x:c>
      <x:c r="G21" s="26" t="str">
        <x:v>Needed</x:v>
      </x:c>
    </x:row>
    <x:row r="22" ht="50" customHeight="1">
      <x:c r="A22" s="26" t="str">
        <x:v>elamite</x:v>
      </x:c>
      <x:c r="B22" s="26" t="str">
        <x:v>Nocturnal Veḷi</x:v>
      </x:c>
      <x:c r="C22" s="26" t="str">
        <x:v>manuscript/inscription image; glyph diagram; language map; pronunciation audio where licensed</x:v>
      </x:c>
      <x:c r="D22" s="26" t="str">
        <x:v>Verified source, licence, credit, alt text, claim supported, date/place, manipulation disclosure</x:v>
      </x:c>
      <x:c r="E22" s="26" t="str">
        <x:v>High</x:v>
      </x:c>
      <x:c r="F22" s="26" t="str">
        <x:v>To research</x:v>
      </x:c>
      <x:c r="G22" s="26" t="str">
        <x:v>Needed</x:v>
      </x:c>
    </x:row>
    <x:row r="23" ht="50" customHeight="1">
      <x:c r="A23" s="26" t="str">
        <x:v>endogamy-clock</x:v>
      </x:c>
      <x:c r="B23" s="26" t="str">
        <x:v>Living Signal Field</x:v>
      </x:c>
      <x:c r="C23" s="26" t="str">
        <x:v>verified dataset; accessible SVG/map; legend; mobile alternative; downloadable table</x:v>
      </x:c>
      <x:c r="D23" s="26" t="str">
        <x:v>Verified source, licence, credit, alt text, claim supported, date/place, manipulation disclosure</x:v>
      </x:c>
      <x:c r="E23" s="26" t="str">
        <x:v>Later</x:v>
      </x:c>
      <x:c r="F23" s="26" t="str">
        <x:v>To research</x:v>
      </x:c>
      <x:c r="G23" s="26" t="str">
        <x:v>Needed</x:v>
      </x:c>
    </x:row>
    <x:row r="24" ht="50" customHeight="1">
      <x:c r="A24" s="26" t="str">
        <x:v>enter</x:v>
      </x:c>
      <x:c r="B24" s="26" t="str">
        <x:v>Tamil Retrofuture</x:v>
      </x:c>
      <x:c r="C24" s="26" t="str">
        <x:v>opening atmosphere asset; claim-specific diagram; source facsimile; social card</x:v>
      </x:c>
      <x:c r="D24" s="26" t="str">
        <x:v>Verified source, licence, credit, alt text, claim supported, date/place, manipulation disclosure</x:v>
      </x:c>
      <x:c r="E24" s="26" t="str">
        <x:v>MVP</x:v>
      </x:c>
      <x:c r="F24" s="26" t="str">
        <x:v>To research</x:v>
      </x:c>
      <x:c r="G24" s="26" t="str">
        <x:v>Needed</x:v>
      </x:c>
    </x:row>
    <x:row r="25" ht="50" customHeight="1">
      <x:c r="A25" s="26" t="str">
        <x:v>gotra</x:v>
      </x:c>
      <x:c r="B25" s="26" t="str">
        <x:v>Reading Room</x:v>
      </x:c>
      <x:c r="C25" s="26" t="str">
        <x:v>opening atmosphere asset; claim-specific diagram; source facsimile; social card</x:v>
      </x:c>
      <x:c r="D25" s="26" t="str">
        <x:v>Verified source, licence, credit, alt text, claim supported, date/place, manipulation disclosure</x:v>
      </x:c>
      <x:c r="E25" s="26" t="str">
        <x:v>High</x:v>
      </x:c>
      <x:c r="F25" s="26" t="str">
        <x:v>To research</x:v>
      </x:c>
      <x:c r="G25" s="26" t="str">
        <x:v>Needed</x:v>
      </x:c>
    </x:row>
    <x:row r="26" ht="50" customHeight="1">
      <x:c r="A26" s="26" t="str">
        <x:v>index</x:v>
      </x:c>
      <x:c r="B26" s="26" t="str">
        <x:v>Nocturnal Veḷi</x:v>
      </x:c>
      <x:c r="C26" s="26" t="str">
        <x:v>opening atmosphere asset; claim-specific diagram; source facsimile; social card</x:v>
      </x:c>
      <x:c r="D26" s="26" t="str">
        <x:v>Verified source, licence, credit, alt text, claim supported, date/place, manipulation disclosure</x:v>
      </x:c>
      <x:c r="E26" s="26" t="str">
        <x:v>MVP</x:v>
      </x:c>
      <x:c r="F26" s="26" t="str">
        <x:v>To research</x:v>
      </x:c>
      <x:c r="G26" s="26" t="str">
        <x:v>Needed</x:v>
      </x:c>
    </x:row>
    <x:row r="27" ht="50" customHeight="1">
      <x:c r="A27" s="26" t="str">
        <x:v>indology</x:v>
      </x:c>
      <x:c r="B27" s="26" t="str">
        <x:v>Reading Room</x:v>
      </x:c>
      <x:c r="C27" s="26" t="str">
        <x:v>opening atmosphere asset; claim-specific diagram; source facsimile; social card</x:v>
      </x:c>
      <x:c r="D27" s="26" t="str">
        <x:v>Verified source, licence, credit, alt text, claim supported, date/place, manipulation disclosure</x:v>
      </x:c>
      <x:c r="E27" s="26" t="str">
        <x:v>Later</x:v>
      </x:c>
      <x:c r="F27" s="26" t="str">
        <x:v>To research</x:v>
      </x:c>
      <x:c r="G27" s="26" t="str">
        <x:v>Needed</x:v>
      </x:c>
    </x:row>
    <x:row r="28" ht="50" customHeight="1">
      <x:c r="A28" s="26" t="str">
        <x:v>isnad</x:v>
      </x:c>
      <x:c r="B28" s="26" t="str">
        <x:v>Reading Room</x:v>
      </x:c>
      <x:c r="C28" s="26" t="str">
        <x:v>opening atmosphere asset; claim-specific diagram; source facsimile; social card</x:v>
      </x:c>
      <x:c r="D28" s="26" t="str">
        <x:v>Verified source, licence, credit, alt text, claim supported, date/place, manipulation disclosure</x:v>
      </x:c>
      <x:c r="E28" s="26" t="str">
        <x:v>Later</x:v>
      </x:c>
      <x:c r="F28" s="26" t="str">
        <x:v>To research</x:v>
      </x:c>
      <x:c r="G28" s="26" t="str">
        <x:v>Needed</x:v>
      </x:c>
    </x:row>
    <x:row r="29" ht="50" customHeight="1">
      <x:c r="A29" s="26" t="str">
        <x:v>jatization</x:v>
      </x:c>
      <x:c r="B29" s="26" t="str">
        <x:v>Tamil Retrofuture</x:v>
      </x:c>
      <x:c r="C29" s="26" t="str">
        <x:v>primary-text facsimile; translation excerpt rights; editorial illustration or print ephemera where appropriate</x:v>
      </x:c>
      <x:c r="D29" s="26" t="str">
        <x:v>Verified source, licence, credit, alt text, claim supported, date/place, manipulation disclosure</x:v>
      </x:c>
      <x:c r="E29" s="26" t="str">
        <x:v>Later</x:v>
      </x:c>
      <x:c r="F29" s="26" t="str">
        <x:v>To research</x:v>
      </x:c>
      <x:c r="G29" s="26" t="str">
        <x:v>Needed</x:v>
      </x:c>
    </x:row>
    <x:row r="30" ht="50" customHeight="1">
      <x:c r="A30" s="26" t="str">
        <x:v>kali-yuga</x:v>
      </x:c>
      <x:c r="B30" s="26" t="str">
        <x:v>Reading Room</x:v>
      </x:c>
      <x:c r="C30" s="26" t="str">
        <x:v>opening atmosphere asset; claim-specific diagram; source facsimile; social card</x:v>
      </x:c>
      <x:c r="D30" s="26" t="str">
        <x:v>Verified source, licence, credit, alt text, claim supported, date/place, manipulation disclosure</x:v>
      </x:c>
      <x:c r="E30" s="26" t="str">
        <x:v>High</x:v>
      </x:c>
      <x:c r="F30" s="26" t="str">
        <x:v>To research</x:v>
      </x:c>
      <x:c r="G30" s="26" t="str">
        <x:v>Needed</x:v>
      </x:c>
    </x:row>
    <x:row r="31" ht="50" customHeight="1">
      <x:c r="A31" s="26" t="str">
        <x:v>keeladi</x:v>
      </x:c>
      <x:c r="B31" s="26" t="str">
        <x:v>Living Tiṇai</x:v>
      </x:c>
      <x:c r="C31" s="26" t="str">
        <x:v>site/landscape photography; material macro; ecological map; present-context image</x:v>
      </x:c>
      <x:c r="D31" s="26" t="str">
        <x:v>Verified source, licence, credit, alt text, claim supported, date/place, manipulation disclosure</x:v>
      </x:c>
      <x:c r="E31" s="26" t="str">
        <x:v>MVP</x:v>
      </x:c>
      <x:c r="F31" s="26" t="str">
        <x:v>To research</x:v>
      </x:c>
      <x:c r="G31" s="26" t="str">
        <x:v>Needed</x:v>
      </x:c>
    </x:row>
    <x:row r="32" ht="50" customHeight="1">
      <x:c r="A32" s="26" t="str">
        <x:v>kinship</x:v>
      </x:c>
      <x:c r="B32" s="26" t="str">
        <x:v>Reading Room</x:v>
      </x:c>
      <x:c r="C32" s="26" t="str">
        <x:v>opening atmosphere asset; claim-specific diagram; source facsimile; social card</x:v>
      </x:c>
      <x:c r="D32" s="26" t="str">
        <x:v>Verified source, licence, credit, alt text, claim supported, date/place, manipulation disclosure</x:v>
      </x:c>
      <x:c r="E32" s="26" t="str">
        <x:v>Later</x:v>
      </x:c>
      <x:c r="F32" s="26" t="str">
        <x:v>To research</x:v>
      </x:c>
      <x:c r="G32" s="26" t="str">
        <x:v>Needed</x:v>
      </x:c>
    </x:row>
    <x:row r="33" ht="50" customHeight="1">
      <x:c r="A33" s="26" t="str">
        <x:v>kural</x:v>
      </x:c>
      <x:c r="B33" s="26" t="str">
        <x:v>Tamil Retrofuture</x:v>
      </x:c>
      <x:c r="C33" s="26" t="str">
        <x:v>primary-text facsimile; translation excerpt rights; editorial illustration or print ephemera where appropriate</x:v>
      </x:c>
      <x:c r="D33" s="26" t="str">
        <x:v>Verified source, licence, credit, alt text, claim supported, date/place, manipulation disclosure</x:v>
      </x:c>
      <x:c r="E33" s="26" t="str">
        <x:v>MVP</x:v>
      </x:c>
      <x:c r="F33" s="26" t="str">
        <x:v>To research</x:v>
      </x:c>
      <x:c r="G33" s="26" t="str">
        <x:v>Needed</x:v>
      </x:c>
    </x:row>
    <x:row r="34" ht="50" customHeight="1">
      <x:c r="A34" s="26" t="str">
        <x:v>meluhha-trade</x:v>
      </x:c>
      <x:c r="B34" s="26" t="str">
        <x:v>Living Signal Field</x:v>
      </x:c>
      <x:c r="C34" s="26" t="str">
        <x:v>verified dataset; accessible SVG/map; legend; mobile alternative; downloadable table</x:v>
      </x:c>
      <x:c r="D34" s="26" t="str">
        <x:v>Verified source, licence, credit, alt text, claim supported, date/place, manipulation disclosure</x:v>
      </x:c>
      <x:c r="E34" s="26" t="str">
        <x:v>Later</x:v>
      </x:c>
      <x:c r="F34" s="26" t="str">
        <x:v>To research</x:v>
      </x:c>
      <x:c r="G34" s="26" t="str">
        <x:v>Needed</x:v>
      </x:c>
    </x:row>
    <x:row r="35" ht="50" customHeight="1">
      <x:c r="A35" s="26" t="str">
        <x:v>meluhha</x:v>
      </x:c>
      <x:c r="B35" s="26" t="str">
        <x:v>Nocturnal Veḷi</x:v>
      </x:c>
      <x:c r="C35" s="26" t="str">
        <x:v>manuscript/inscription image; glyph diagram; language map; pronunciation audio where licensed</x:v>
      </x:c>
      <x:c r="D35" s="26" t="str">
        <x:v>Verified source, licence, credit, alt text, claim supported, date/place, manipulation disclosure</x:v>
      </x:c>
      <x:c r="E35" s="26" t="str">
        <x:v>Later</x:v>
      </x:c>
      <x:c r="F35" s="26" t="str">
        <x:v>To research</x:v>
      </x:c>
      <x:c r="G35" s="26" t="str">
        <x:v>Needed</x:v>
      </x:c>
    </x:row>
    <x:row r="36" ht="50" customHeight="1">
      <x:c r="A36" s="26" t="str">
        <x:v>mitanni</x:v>
      </x:c>
      <x:c r="B36" s="26" t="str">
        <x:v>Living Signal Field</x:v>
      </x:c>
      <x:c r="C36" s="26" t="str">
        <x:v>verified dataset; accessible SVG/map; legend; mobile alternative; downloadable table</x:v>
      </x:c>
      <x:c r="D36" s="26" t="str">
        <x:v>Verified source, licence, credit, alt text, claim supported, date/place, manipulation disclosure</x:v>
      </x:c>
      <x:c r="E36" s="26" t="str">
        <x:v>Later</x:v>
      </x:c>
      <x:c r="F36" s="26" t="str">
        <x:v>To research</x:v>
      </x:c>
      <x:c r="G36" s="26" t="str">
        <x:v>Needed</x:v>
      </x:c>
    </x:row>
    <x:row r="37" ht="50" customHeight="1">
      <x:c r="A37" s="26" t="str">
        <x:v>mlecha</x:v>
      </x:c>
      <x:c r="B37" s="26" t="str">
        <x:v>Nocturnal Veḷi</x:v>
      </x:c>
      <x:c r="C37" s="26" t="str">
        <x:v>opening atmosphere asset; claim-specific diagram; source facsimile; social card</x:v>
      </x:c>
      <x:c r="D37" s="26" t="str">
        <x:v>Verified source, licence, credit, alt text, claim supported, date/place, manipulation disclosure</x:v>
      </x:c>
      <x:c r="E37" s="26" t="str">
        <x:v>Later</x:v>
      </x:c>
      <x:c r="F37" s="26" t="str">
        <x:v>To research</x:v>
      </x:c>
      <x:c r="G37" s="26" t="str">
        <x:v>Needed</x:v>
      </x:c>
    </x:row>
    <x:row r="38" ht="50" customHeight="1">
      <x:c r="A38" s="26" t="str">
        <x:v>music</x:v>
      </x:c>
      <x:c r="B38" s="26" t="str">
        <x:v>Tamil Retrofuture</x:v>
      </x:c>
      <x:c r="C38" s="26" t="str">
        <x:v>opening atmosphere asset; claim-specific diagram; source facsimile; social card</x:v>
      </x:c>
      <x:c r="D38" s="26" t="str">
        <x:v>Verified source, licence, credit, alt text, claim supported, date/place, manipulation disclosure</x:v>
      </x:c>
      <x:c r="E38" s="26" t="str">
        <x:v>Later</x:v>
      </x:c>
      <x:c r="F38" s="26" t="str">
        <x:v>To research</x:v>
      </x:c>
      <x:c r="G38" s="26" t="str">
        <x:v>Needed</x:v>
      </x:c>
    </x:row>
    <x:row r="39" ht="50" customHeight="1">
      <x:c r="A39" s="26" t="str">
        <x:v>not-the-same-thing</x:v>
      </x:c>
      <x:c r="B39" s="26" t="str">
        <x:v>Reading Room</x:v>
      </x:c>
      <x:c r="C39" s="26" t="str">
        <x:v>opening atmosphere asset; claim-specific diagram; source facsimile; social card</x:v>
      </x:c>
      <x:c r="D39" s="26" t="str">
        <x:v>Verified source, licence, credit, alt text, claim supported, date/place, manipulation disclosure</x:v>
      </x:c>
      <x:c r="E39" s="26" t="str">
        <x:v>Later</x:v>
      </x:c>
      <x:c r="F39" s="26" t="str">
        <x:v>To research</x:v>
      </x:c>
      <x:c r="G39" s="26" t="str">
        <x:v>Needed</x:v>
      </x:c>
    </x:row>
    <x:row r="40" ht="50" customHeight="1">
      <x:c r="A40" s="26" t="str">
        <x:v>one-script-many-kingdoms</x:v>
      </x:c>
      <x:c r="B40" s="26" t="str">
        <x:v>Nocturnal Veḷi</x:v>
      </x:c>
      <x:c r="C40" s="26" t="str">
        <x:v>opening atmosphere asset; claim-specific diagram; source facsimile; social card</x:v>
      </x:c>
      <x:c r="D40" s="26" t="str">
        <x:v>Verified source, licence, credit, alt text, claim supported, date/place, manipulation disclosure</x:v>
      </x:c>
      <x:c r="E40" s="26" t="str">
        <x:v>Later</x:v>
      </x:c>
      <x:c r="F40" s="26" t="str">
        <x:v>To research</x:v>
      </x:c>
      <x:c r="G40" s="26" t="str">
        <x:v>Needed</x:v>
      </x:c>
    </x:row>
    <x:row r="41" ht="50" customHeight="1">
      <x:c r="A41" s="26" t="str">
        <x:v>one-verse</x:v>
      </x:c>
      <x:c r="B41" s="26" t="str">
        <x:v>Reading Room</x:v>
      </x:c>
      <x:c r="C41" s="26" t="str">
        <x:v>opening atmosphere asset; claim-specific diagram; source facsimile; social card</x:v>
      </x:c>
      <x:c r="D41" s="26" t="str">
        <x:v>Verified source, licence, credit, alt text, claim supported, date/place, manipulation disclosure</x:v>
      </x:c>
      <x:c r="E41" s="26" t="str">
        <x:v>Later</x:v>
      </x:c>
      <x:c r="F41" s="26" t="str">
        <x:v>To research</x:v>
      </x:c>
      <x:c r="G41" s="26" t="str">
        <x:v>Needed</x:v>
      </x:c>
    </x:row>
    <x:row r="42" ht="50" customHeight="1">
      <x:c r="A42" s="26" t="str">
        <x:v>origin-myths</x:v>
      </x:c>
      <x:c r="B42" s="26" t="str">
        <x:v>Nocturnal Veḷi</x:v>
      </x:c>
      <x:c r="C42" s="26" t="str">
        <x:v>opening atmosphere asset; claim-specific diagram; source facsimile; social card</x:v>
      </x:c>
      <x:c r="D42" s="26" t="str">
        <x:v>Verified source, licence, credit, alt text, claim supported, date/place, manipulation disclosure</x:v>
      </x:c>
      <x:c r="E42" s="26" t="str">
        <x:v>High</x:v>
      </x:c>
      <x:c r="F42" s="26" t="str">
        <x:v>To research</x:v>
      </x:c>
      <x:c r="G42" s="26" t="str">
        <x:v>Needed</x:v>
      </x:c>
    </x:row>
    <x:row r="43" ht="50" customHeight="1">
      <x:c r="A43" s="26" t="str">
        <x:v>paid-in-cattle</x:v>
      </x:c>
      <x:c r="B43" s="26" t="str">
        <x:v>Reading Room</x:v>
      </x:c>
      <x:c r="C43" s="26" t="str">
        <x:v>opening atmosphere asset; claim-specific diagram; source facsimile; social card</x:v>
      </x:c>
      <x:c r="D43" s="26" t="str">
        <x:v>Verified source, licence, credit, alt text, claim supported, date/place, manipulation disclosure</x:v>
      </x:c>
      <x:c r="E43" s="26" t="str">
        <x:v>Later</x:v>
      </x:c>
      <x:c r="F43" s="26" t="str">
        <x:v>To research</x:v>
      </x:c>
      <x:c r="G43" s="26" t="str">
        <x:v>Needed</x:v>
      </x:c>
    </x:row>
    <x:row r="44" ht="50" customHeight="1">
      <x:c r="A44" s="26" t="str">
        <x:v>panini</x:v>
      </x:c>
      <x:c r="B44" s="26" t="str">
        <x:v>Living Signal Field</x:v>
      </x:c>
      <x:c r="C44" s="26" t="str">
        <x:v>opening atmosphere asset; claim-specific diagram; source facsimile; social card</x:v>
      </x:c>
      <x:c r="D44" s="26" t="str">
        <x:v>Verified source, licence, credit, alt text, claim supported, date/place, manipulation disclosure</x:v>
      </x:c>
      <x:c r="E44" s="26" t="str">
        <x:v>Later</x:v>
      </x:c>
      <x:c r="F44" s="26" t="str">
        <x:v>To research</x:v>
      </x:c>
      <x:c r="G44" s="26" t="str">
        <x:v>Needed</x:v>
      </x:c>
    </x:row>
    <x:row r="45" ht="50" customHeight="1">
      <x:c r="A45" s="26" t="str">
        <x:v>sacred-ash</x:v>
      </x:c>
      <x:c r="B45" s="26" t="str">
        <x:v>Living Tiṇai</x:v>
      </x:c>
      <x:c r="C45" s="26" t="str">
        <x:v>site/landscape photography; material macro; ecological map; present-context image</x:v>
      </x:c>
      <x:c r="D45" s="26" t="str">
        <x:v>Verified source, licence, credit, alt text, claim supported, date/place, manipulation disclosure</x:v>
      </x:c>
      <x:c r="E45" s="26" t="str">
        <x:v>Later</x:v>
      </x:c>
      <x:c r="F45" s="26" t="str">
        <x:v>To research</x:v>
      </x:c>
      <x:c r="G45" s="26" t="str">
        <x:v>Needed</x:v>
      </x:c>
    </x:row>
    <x:row r="46" ht="50" customHeight="1">
      <x:c r="A46" s="26" t="str">
        <x:v>siddha-and-ayurveda</x:v>
      </x:c>
      <x:c r="B46" s="26" t="str">
        <x:v>Living Tiṇai</x:v>
      </x:c>
      <x:c r="C46" s="26" t="str">
        <x:v>opening atmosphere asset; claim-specific diagram; source facsimile; social card</x:v>
      </x:c>
      <x:c r="D46" s="26" t="str">
        <x:v>Verified source, licence, credit, alt text, claim supported, date/place, manipulation disclosure</x:v>
      </x:c>
      <x:c r="E46" s="26" t="str">
        <x:v>Later</x:v>
      </x:c>
      <x:c r="F46" s="26" t="str">
        <x:v>To research</x:v>
      </x:c>
      <x:c r="G46" s="26" t="str">
        <x:v>Needed</x:v>
      </x:c>
    </x:row>
    <x:row r="47" ht="50" customHeight="1">
      <x:c r="A47" s="26" t="str">
        <x:v>sky</x:v>
      </x:c>
      <x:c r="B47" s="26" t="str">
        <x:v>Nocturnal Veḷi</x:v>
      </x:c>
      <x:c r="C47" s="26" t="str">
        <x:v>opening atmosphere asset; claim-specific diagram; source facsimile; social card</x:v>
      </x:c>
      <x:c r="D47" s="26" t="str">
        <x:v>Verified source, licence, credit, alt text, claim supported, date/place, manipulation disclosure</x:v>
      </x:c>
      <x:c r="E47" s="26" t="str">
        <x:v>Later</x:v>
      </x:c>
      <x:c r="F47" s="26" t="str">
        <x:v>To research</x:v>
      </x:c>
      <x:c r="G47" s="26" t="str">
        <x:v>Needed</x:v>
      </x:c>
    </x:row>
    <x:row r="48" ht="50" customHeight="1">
      <x:c r="A48" s="26" t="str">
        <x:v>sound-changes</x:v>
      </x:c>
      <x:c r="B48" s="26" t="str">
        <x:v>Living Signal Field</x:v>
      </x:c>
      <x:c r="C48" s="26" t="str">
        <x:v>verified dataset; accessible SVG/map; legend; mobile alternative; downloadable table</x:v>
      </x:c>
      <x:c r="D48" s="26" t="str">
        <x:v>Verified source, licence, credit, alt text, claim supported, date/place, manipulation disclosure</x:v>
      </x:c>
      <x:c r="E48" s="26" t="str">
        <x:v>MVP</x:v>
      </x:c>
      <x:c r="F48" s="26" t="str">
        <x:v>To research</x:v>
      </x:c>
      <x:c r="G48" s="26" t="str">
        <x:v>Needed</x:v>
      </x:c>
    </x:row>
    <x:row r="49" ht="50" customHeight="1">
      <x:c r="A49" s="26" t="str">
        <x:v>steppe</x:v>
      </x:c>
      <x:c r="B49" s="26" t="str">
        <x:v>Reading Room</x:v>
      </x:c>
      <x:c r="C49" s="26" t="str">
        <x:v>opening atmosphere asset; claim-specific diagram; source facsimile; social card</x:v>
      </x:c>
      <x:c r="D49" s="26" t="str">
        <x:v>Verified source, licence, credit, alt text, claim supported, date/place, manipulation disclosure</x:v>
      </x:c>
      <x:c r="E49" s="26" t="str">
        <x:v>Later</x:v>
      </x:c>
      <x:c r="F49" s="26" t="str">
        <x:v>To research</x:v>
      </x:c>
      <x:c r="G49" s="26" t="str">
        <x:v>Needed</x:v>
      </x:c>
    </x:row>
    <x:row r="50" ht="50" customHeight="1">
      <x:c r="A50" s="26" t="str">
        <x:v>the-archive</x:v>
      </x:c>
      <x:c r="B50" s="26" t="str">
        <x:v>Extraction / Collection</x:v>
      </x:c>
      <x:c r="C50" s="26" t="str">
        <x:v>collection record; accession/custody document; object image rights; institutional correspondence; access-status evidence</x:v>
      </x:c>
      <x:c r="D50" s="26" t="str">
        <x:v>Verified source, licence, credit, alt text, claim supported, date/place, manipulation disclosure</x:v>
      </x:c>
      <x:c r="E50" s="26" t="str">
        <x:v>MVP</x:v>
      </x:c>
      <x:c r="F50" s="26" t="str">
        <x:v>To research</x:v>
      </x:c>
      <x:c r="G50" s="26" t="str">
        <x:v>Needed</x:v>
      </x:c>
    </x:row>
    <x:row r="51" ht="50" customHeight="1">
      <x:c r="A51" s="26" t="str">
        <x:v>the-borrowed-ancestor</x:v>
      </x:c>
      <x:c r="B51" s="26" t="str">
        <x:v>Reading Room</x:v>
      </x:c>
      <x:c r="C51" s="26" t="str">
        <x:v>opening atmosphere asset; claim-specific diagram; source facsimile; social card</x:v>
      </x:c>
      <x:c r="D51" s="26" t="str">
        <x:v>Verified source, licence, credit, alt text, claim supported, date/place, manipulation disclosure</x:v>
      </x:c>
      <x:c r="E51" s="26" t="str">
        <x:v>High</x:v>
      </x:c>
      <x:c r="F51" s="26" t="str">
        <x:v>To research</x:v>
      </x:c>
      <x:c r="G51" s="26" t="str">
        <x:v>Needed</x:v>
      </x:c>
    </x:row>
    <x:row r="52" ht="50" customHeight="1">
      <x:c r="A52" s="26" t="str">
        <x:v>the-computed-dawn</x:v>
      </x:c>
      <x:c r="B52" s="26" t="str">
        <x:v>Nocturnal Veḷi</x:v>
      </x:c>
      <x:c r="C52" s="26" t="str">
        <x:v>opening atmosphere asset; claim-specific diagram; source facsimile; social card</x:v>
      </x:c>
      <x:c r="D52" s="26" t="str">
        <x:v>Verified source, licence, credit, alt text, claim supported, date/place, manipulation disclosure</x:v>
      </x:c>
      <x:c r="E52" s="26" t="str">
        <x:v>Later</x:v>
      </x:c>
      <x:c r="F52" s="26" t="str">
        <x:v>To research</x:v>
      </x:c>
      <x:c r="G52" s="26" t="str">
        <x:v>Needed</x:v>
      </x:c>
    </x:row>
    <x:row r="53" ht="50" customHeight="1">
      <x:c r="A53" s="26" t="str">
        <x:v>the-curve</x:v>
      </x:c>
      <x:c r="B53" s="26" t="str">
        <x:v>Living Signal Field</x:v>
      </x:c>
      <x:c r="C53" s="26" t="str">
        <x:v>verified dataset; accessible SVG/map; legend; mobile alternative; downloadable table</x:v>
      </x:c>
      <x:c r="D53" s="26" t="str">
        <x:v>Verified source, licence, credit, alt text, claim supported, date/place, manipulation disclosure</x:v>
      </x:c>
      <x:c r="E53" s="26" t="str">
        <x:v>Later</x:v>
      </x:c>
      <x:c r="F53" s="26" t="str">
        <x:v>To research</x:v>
      </x:c>
      <x:c r="G53" s="26" t="str">
        <x:v>Needed</x:v>
      </x:c>
    </x:row>
    <x:row r="54" ht="50" customHeight="1">
      <x:c r="A54" s="26" t="str">
        <x:v>the-deep-root</x:v>
      </x:c>
      <x:c r="B54" s="26" t="str">
        <x:v>Nocturnal Veḷi</x:v>
      </x:c>
      <x:c r="C54" s="26" t="str">
        <x:v>opening atmosphere asset; claim-specific diagram; source facsimile; social card</x:v>
      </x:c>
      <x:c r="D54" s="26" t="str">
        <x:v>Verified source, licence, credit, alt text, claim supported, date/place, manipulation disclosure</x:v>
      </x:c>
      <x:c r="E54" s="26" t="str">
        <x:v>Later</x:v>
      </x:c>
      <x:c r="F54" s="26" t="str">
        <x:v>To research</x:v>
      </x:c>
      <x:c r="G54" s="26" t="str">
        <x:v>Needed</x:v>
      </x:c>
    </x:row>
    <x:row r="55" ht="50" customHeight="1">
      <x:c r="A55" s="26" t="str">
        <x:v>the-eastern-tradition</x:v>
      </x:c>
      <x:c r="B55" s="26" t="str">
        <x:v>Reading Room</x:v>
      </x:c>
      <x:c r="C55" s="26" t="str">
        <x:v>opening atmosphere asset; claim-specific diagram; source facsimile; social card</x:v>
      </x:c>
      <x:c r="D55" s="26" t="str">
        <x:v>Verified source, licence, credit, alt text, claim supported, date/place, manipulation disclosure</x:v>
      </x:c>
      <x:c r="E55" s="26" t="str">
        <x:v>Later</x:v>
      </x:c>
      <x:c r="F55" s="26" t="str">
        <x:v>To research</x:v>
      </x:c>
      <x:c r="G55" s="26" t="str">
        <x:v>Needed</x:v>
      </x:c>
    </x:row>
    <x:row r="56" ht="50" customHeight="1">
      <x:c r="A56" s="26" t="str">
        <x:v>the-edits</x:v>
      </x:c>
      <x:c r="B56" s="26" t="str">
        <x:v>Extraction / Collection</x:v>
      </x:c>
      <x:c r="C56" s="26" t="str">
        <x:v>collection record; accession/custody document; object image rights; institutional correspondence; access-status evidence</x:v>
      </x:c>
      <x:c r="D56" s="26" t="str">
        <x:v>Verified source, licence, credit, alt text, claim supported, date/place, manipulation disclosure</x:v>
      </x:c>
      <x:c r="E56" s="26" t="str">
        <x:v>Later</x:v>
      </x:c>
      <x:c r="F56" s="26" t="str">
        <x:v>To research</x:v>
      </x:c>
      <x:c r="G56" s="26" t="str">
        <x:v>Needed</x:v>
      </x:c>
    </x:row>
    <x:row r="57" ht="50" customHeight="1">
      <x:c r="A57" s="26" t="str">
        <x:v>the-firms</x:v>
      </x:c>
      <x:c r="B57" s="26" t="str">
        <x:v>Extraction / Collection</x:v>
      </x:c>
      <x:c r="C57" s="26" t="str">
        <x:v>collection record; accession/custody document; object image rights; institutional correspondence; access-status evidence</x:v>
      </x:c>
      <x:c r="D57" s="26" t="str">
        <x:v>Verified source, licence, credit, alt text, claim supported, date/place, manipulation disclosure</x:v>
      </x:c>
      <x:c r="E57" s="26" t="str">
        <x:v>High</x:v>
      </x:c>
      <x:c r="F57" s="26" t="str">
        <x:v>To research</x:v>
      </x:c>
      <x:c r="G57" s="26" t="str">
        <x:v>Needed</x:v>
      </x:c>
    </x:row>
    <x:row r="58" ht="50" customHeight="1">
      <x:c r="A58" s="26" t="str">
        <x:v>the-forest</x:v>
      </x:c>
      <x:c r="B58" s="26" t="str">
        <x:v>Living Tiṇai</x:v>
      </x:c>
      <x:c r="C58" s="26" t="str">
        <x:v>site/landscape photography; material macro; ecological map; present-context image</x:v>
      </x:c>
      <x:c r="D58" s="26" t="str">
        <x:v>Verified source, licence, credit, alt text, claim supported, date/place, manipulation disclosure</x:v>
      </x:c>
      <x:c r="E58" s="26" t="str">
        <x:v>Later</x:v>
      </x:c>
      <x:c r="F58" s="26" t="str">
        <x:v>To research</x:v>
      </x:c>
      <x:c r="G58" s="26" t="str">
        <x:v>Needed</x:v>
      </x:c>
    </x:row>
    <x:row r="59" ht="50" customHeight="1">
      <x:c r="A59" s="26" t="str">
        <x:v>the-forts</x:v>
      </x:c>
      <x:c r="B59" s="26" t="str">
        <x:v>Reading Room</x:v>
      </x:c>
      <x:c r="C59" s="26" t="str">
        <x:v>opening atmosphere asset; claim-specific diagram; source facsimile; social card</x:v>
      </x:c>
      <x:c r="D59" s="26" t="str">
        <x:v>Verified source, licence, credit, alt text, claim supported, date/place, manipulation disclosure</x:v>
      </x:c>
      <x:c r="E59" s="26" t="str">
        <x:v>Later</x:v>
      </x:c>
      <x:c r="F59" s="26" t="str">
        <x:v>To research</x:v>
      </x:c>
      <x:c r="G59" s="26" t="str">
        <x:v>Needed</x:v>
      </x:c>
    </x:row>
    <x:row r="60" ht="50" customHeight="1">
      <x:c r="A60" s="26" t="str">
        <x:v>the-gap</x:v>
      </x:c>
      <x:c r="B60" s="26" t="str">
        <x:v>Nocturnal Veḷi</x:v>
      </x:c>
      <x:c r="C60" s="26" t="str">
        <x:v>opening atmosphere asset; claim-specific diagram; source facsimile; social card</x:v>
      </x:c>
      <x:c r="D60" s="26" t="str">
        <x:v>Verified source, licence, credit, alt text, claim supported, date/place, manipulation disclosure</x:v>
      </x:c>
      <x:c r="E60" s="26" t="str">
        <x:v>Later</x:v>
      </x:c>
      <x:c r="F60" s="26" t="str">
        <x:v>To research</x:v>
      </x:c>
      <x:c r="G60" s="26" t="str">
        <x:v>Needed</x:v>
      </x:c>
    </x:row>
    <x:row r="61" ht="50" customHeight="1">
      <x:c r="A61" s="26" t="str">
        <x:v>the-genome-of-caste</x:v>
      </x:c>
      <x:c r="B61" s="26" t="str">
        <x:v>Living Signal Field</x:v>
      </x:c>
      <x:c r="C61" s="26" t="str">
        <x:v>verified dataset; accessible SVG/map; legend; mobile alternative; downloadable table</x:v>
      </x:c>
      <x:c r="D61" s="26" t="str">
        <x:v>Verified source, licence, credit, alt text, claim supported, date/place, manipulation disclosure</x:v>
      </x:c>
      <x:c r="E61" s="26" t="str">
        <x:v>Later</x:v>
      </x:c>
      <x:c r="F61" s="26" t="str">
        <x:v>To research</x:v>
      </x:c>
      <x:c r="G61" s="26" t="str">
        <x:v>Needed</x:v>
      </x:c>
    </x:row>
    <x:row r="62" ht="50" customHeight="1">
      <x:c r="A62" s="26" t="str">
        <x:v>the-insertions</x:v>
      </x:c>
      <x:c r="B62" s="26" t="str">
        <x:v>Reading Room</x:v>
      </x:c>
      <x:c r="C62" s="26" t="str">
        <x:v>opening atmosphere asset; claim-specific diagram; source facsimile; social card</x:v>
      </x:c>
      <x:c r="D62" s="26" t="str">
        <x:v>Verified source, licence, credit, alt text, claim supported, date/place, manipulation disclosure</x:v>
      </x:c>
      <x:c r="E62" s="26" t="str">
        <x:v>Later</x:v>
      </x:c>
      <x:c r="F62" s="26" t="str">
        <x:v>To research</x:v>
      </x:c>
      <x:c r="G62" s="26" t="str">
        <x:v>Needed</x:v>
      </x:c>
    </x:row>
    <x:row r="63" ht="50" customHeight="1">
      <x:c r="A63" s="26" t="str">
        <x:v>the-killed</x:v>
      </x:c>
      <x:c r="B63" s="26" t="str">
        <x:v>Tamil Retrofuture</x:v>
      </x:c>
      <x:c r="C63" s="26" t="str">
        <x:v>primary-text facsimile; translation excerpt rights; editorial illustration or print ephemera where appropriate</x:v>
      </x:c>
      <x:c r="D63" s="26" t="str">
        <x:v>Verified source, licence, credit, alt text, claim supported, date/place, manipulation disclosure</x:v>
      </x:c>
      <x:c r="E63" s="26" t="str">
        <x:v>High</x:v>
      </x:c>
      <x:c r="F63" s="26" t="str">
        <x:v>To research</x:v>
      </x:c>
      <x:c r="G63" s="26" t="str">
        <x:v>Needed</x:v>
      </x:c>
    </x:row>
    <x:row r="64" ht="50" customHeight="1">
      <x:c r="A64" s="26" t="str">
        <x:v>the-king-they-claimed</x:v>
      </x:c>
      <x:c r="B64" s="26" t="str">
        <x:v>Reading Room</x:v>
      </x:c>
      <x:c r="C64" s="26" t="str">
        <x:v>opening atmosphere asset; claim-specific diagram; source facsimile; social card</x:v>
      </x:c>
      <x:c r="D64" s="26" t="str">
        <x:v>Verified source, licence, credit, alt text, claim supported, date/place, manipulation disclosure</x:v>
      </x:c>
      <x:c r="E64" s="26" t="str">
        <x:v>High</x:v>
      </x:c>
      <x:c r="F64" s="26" t="str">
        <x:v>To research</x:v>
      </x:c>
      <x:c r="G64" s="26" t="str">
        <x:v>Needed</x:v>
      </x:c>
    </x:row>
    <x:row r="65" ht="50" customHeight="1">
      <x:c r="A65" s="26" t="str">
        <x:v>the-land</x:v>
      </x:c>
      <x:c r="B65" s="26" t="str">
        <x:v>Living Tiṇai</x:v>
      </x:c>
      <x:c r="C65" s="26" t="str">
        <x:v>site/landscape photography; material macro; ecological map; present-context image</x:v>
      </x:c>
      <x:c r="D65" s="26" t="str">
        <x:v>Verified source, licence, credit, alt text, claim supported, date/place, manipulation disclosure</x:v>
      </x:c>
      <x:c r="E65" s="26" t="str">
        <x:v>Later</x:v>
      </x:c>
      <x:c r="F65" s="26" t="str">
        <x:v>To research</x:v>
      </x:c>
      <x:c r="G65" s="26" t="str">
        <x:v>Needed</x:v>
      </x:c>
    </x:row>
    <x:row r="66" ht="50" customHeight="1">
      <x:c r="A66" s="26" t="str">
        <x:v>the-languages-we-lost</x:v>
      </x:c>
      <x:c r="B66" s="26" t="str">
        <x:v>Nocturnal Veḷi</x:v>
      </x:c>
      <x:c r="C66" s="26" t="str">
        <x:v>manuscript/inscription image; glyph diagram; language map; pronunciation audio where licensed</x:v>
      </x:c>
      <x:c r="D66" s="26" t="str">
        <x:v>Verified source, licence, credit, alt text, claim supported, date/place, manipulation disclosure</x:v>
      </x:c>
      <x:c r="E66" s="26" t="str">
        <x:v>MVP</x:v>
      </x:c>
      <x:c r="F66" s="26" t="str">
        <x:v>To research</x:v>
      </x:c>
      <x:c r="G66" s="26" t="str">
        <x:v>Needed</x:v>
      </x:c>
    </x:row>
    <x:row r="67" ht="50" customHeight="1">
      <x:c r="A67" s="26" t="str">
        <x:v>the-late-hymn</x:v>
      </x:c>
      <x:c r="B67" s="26" t="str">
        <x:v>Reading Room</x:v>
      </x:c>
      <x:c r="C67" s="26" t="str">
        <x:v>opening atmosphere asset; claim-specific diagram; source facsimile; social card</x:v>
      </x:c>
      <x:c r="D67" s="26" t="str">
        <x:v>Verified source, licence, credit, alt text, claim supported, date/place, manipulation disclosure</x:v>
      </x:c>
      <x:c r="E67" s="26" t="str">
        <x:v>Later</x:v>
      </x:c>
      <x:c r="F67" s="26" t="str">
        <x:v>To research</x:v>
      </x:c>
      <x:c r="G67" s="26" t="str">
        <x:v>Needed</x:v>
      </x:c>
    </x:row>
    <x:row r="68" ht="50" customHeight="1">
      <x:c r="A68" s="26" t="str">
        <x:v>the-later-count</x:v>
      </x:c>
      <x:c r="B68" s="26" t="str">
        <x:v>Reading Room</x:v>
      </x:c>
      <x:c r="C68" s="26" t="str">
        <x:v>opening atmosphere asset; claim-specific diagram; source facsimile; social card</x:v>
      </x:c>
      <x:c r="D68" s="26" t="str">
        <x:v>Verified source, licence, credit, alt text, claim supported, date/place, manipulation disclosure</x:v>
      </x:c>
      <x:c r="E68" s="26" t="str">
        <x:v>Later</x:v>
      </x:c>
      <x:c r="F68" s="26" t="str">
        <x:v>To research</x:v>
      </x:c>
      <x:c r="G68" s="26" t="str">
        <x:v>Needed</x:v>
      </x:c>
    </x:row>
    <x:row r="69" ht="50" customHeight="1">
      <x:c r="A69" s="26" t="str">
        <x:v>the-ledger</x:v>
      </x:c>
      <x:c r="B69" s="26" t="str">
        <x:v>Reading Room</x:v>
      </x:c>
      <x:c r="C69" s="26" t="str">
        <x:v>opening atmosphere asset; claim-specific diagram; source facsimile; social card</x:v>
      </x:c>
      <x:c r="D69" s="26" t="str">
        <x:v>Verified source, licence, credit, alt text, claim supported, date/place, manipulation disclosure</x:v>
      </x:c>
      <x:c r="E69" s="26" t="str">
        <x:v>MVP</x:v>
      </x:c>
      <x:c r="F69" s="26" t="str">
        <x:v>To research</x:v>
      </x:c>
      <x:c r="G69" s="26" t="str">
        <x:v>Needed</x:v>
      </x:c>
    </x:row>
    <x:row r="70" ht="50" customHeight="1">
      <x:c r="A70" s="26" t="str">
        <x:v>the-map-in-the-text</x:v>
      </x:c>
      <x:c r="B70" s="26" t="str">
        <x:v>Living Signal Field</x:v>
      </x:c>
      <x:c r="C70" s="26" t="str">
        <x:v>verified dataset; accessible SVG/map; legend; mobile alternative; downloadable table</x:v>
      </x:c>
      <x:c r="D70" s="26" t="str">
        <x:v>Verified source, licence, credit, alt text, claim supported, date/place, manipulation disclosure</x:v>
      </x:c>
      <x:c r="E70" s="26" t="str">
        <x:v>Later</x:v>
      </x:c>
      <x:c r="F70" s="26" t="str">
        <x:v>To research</x:v>
      </x:c>
      <x:c r="G70" s="26" t="str">
        <x:v>Needed</x:v>
      </x:c>
    </x:row>
    <x:row r="71" ht="50" customHeight="1">
      <x:c r="A71" s="26" t="str">
        <x:v>the-mechanism</x:v>
      </x:c>
      <x:c r="B71" s="26" t="str">
        <x:v>Living Signal Field</x:v>
      </x:c>
      <x:c r="C71" s="26" t="str">
        <x:v>verified dataset; accessible SVG/map; legend; mobile alternative; downloadable table</x:v>
      </x:c>
      <x:c r="D71" s="26" t="str">
        <x:v>Verified source, licence, credit, alt text, claim supported, date/place, manipulation disclosure</x:v>
      </x:c>
      <x:c r="E71" s="26" t="str">
        <x:v>Later</x:v>
      </x:c>
      <x:c r="F71" s="26" t="str">
        <x:v>To research</x:v>
      </x:c>
      <x:c r="G71" s="26" t="str">
        <x:v>Needed</x:v>
      </x:c>
    </x:row>
    <x:row r="72" ht="50" customHeight="1">
      <x:c r="A72" s="26" t="str">
        <x:v>the-medicine-question</x:v>
      </x:c>
      <x:c r="B72" s="26" t="str">
        <x:v>Living Tiṇai</x:v>
      </x:c>
      <x:c r="C72" s="26" t="str">
        <x:v>site/landscape photography; material macro; ecological map; present-context image</x:v>
      </x:c>
      <x:c r="D72" s="26" t="str">
        <x:v>Verified source, licence, credit, alt text, claim supported, date/place, manipulation disclosure</x:v>
      </x:c>
      <x:c r="E72" s="26" t="str">
        <x:v>High</x:v>
      </x:c>
      <x:c r="F72" s="26" t="str">
        <x:v>To research</x:v>
      </x:c>
      <x:c r="G72" s="26" t="str">
        <x:v>Needed</x:v>
      </x:c>
    </x:row>
    <x:row r="73" ht="50" customHeight="1">
      <x:c r="A73" s="26" t="str">
        <x:v>the-names</x:v>
      </x:c>
      <x:c r="B73" s="26" t="str">
        <x:v>Reading Room</x:v>
      </x:c>
      <x:c r="C73" s="26" t="str">
        <x:v>opening atmosphere asset; claim-specific diagram; source facsimile; social card</x:v>
      </x:c>
      <x:c r="D73" s="26" t="str">
        <x:v>Verified source, licence, credit, alt text, claim supported, date/place, manipulation disclosure</x:v>
      </x:c>
      <x:c r="E73" s="26" t="str">
        <x:v>Later</x:v>
      </x:c>
      <x:c r="F73" s="26" t="str">
        <x:v>To research</x:v>
      </x:c>
      <x:c r="G73" s="26" t="str">
        <x:v>Needed</x:v>
      </x:c>
    </x:row>
    <x:row r="74" ht="50" customHeight="1">
      <x:c r="A74" s="26" t="str">
        <x:v>the-narrowing</x:v>
      </x:c>
      <x:c r="B74" s="26" t="str">
        <x:v>Reading Room</x:v>
      </x:c>
      <x:c r="C74" s="26" t="str">
        <x:v>opening atmosphere asset; claim-specific diagram; source facsimile; social card</x:v>
      </x:c>
      <x:c r="D74" s="26" t="str">
        <x:v>Verified source, licence, credit, alt text, claim supported, date/place, manipulation disclosure</x:v>
      </x:c>
      <x:c r="E74" s="26" t="str">
        <x:v>High</x:v>
      </x:c>
      <x:c r="F74" s="26" t="str">
        <x:v>To research</x:v>
      </x:c>
      <x:c r="G74" s="26" t="str">
        <x:v>Needed</x:v>
      </x:c>
    </x:row>
    <x:row r="75" ht="50" customHeight="1">
      <x:c r="A75" s="26" t="str">
        <x:v>the-nine-enemies</x:v>
      </x:c>
      <x:c r="B75" s="26" t="str">
        <x:v>Reading Room</x:v>
      </x:c>
      <x:c r="C75" s="26" t="str">
        <x:v>opening atmosphere asset; claim-specific diagram; source facsimile; social card</x:v>
      </x:c>
      <x:c r="D75" s="26" t="str">
        <x:v>Verified source, licence, credit, alt text, claim supported, date/place, manipulation disclosure</x:v>
      </x:c>
      <x:c r="E75" s="26" t="str">
        <x:v>Later</x:v>
      </x:c>
      <x:c r="F75" s="26" t="str">
        <x:v>To research</x:v>
      </x:c>
      <x:c r="G75" s="26" t="str">
        <x:v>Needed</x:v>
      </x:c>
    </x:row>
    <x:row r="76" ht="50" customHeight="1">
      <x:c r="A76" s="26" t="str">
        <x:v>the-other-laws</x:v>
      </x:c>
      <x:c r="B76" s="26" t="str">
        <x:v>Tamil Retrofuture</x:v>
      </x:c>
      <x:c r="C76" s="26" t="str">
        <x:v>primary-text facsimile; translation excerpt rights; editorial illustration or print ephemera where appropriate</x:v>
      </x:c>
      <x:c r="D76" s="26" t="str">
        <x:v>Verified source, licence, credit, alt text, claim supported, date/place, manipulation disclosure</x:v>
      </x:c>
      <x:c r="E76" s="26" t="str">
        <x:v>MVP</x:v>
      </x:c>
      <x:c r="F76" s="26" t="str">
        <x:v>To research</x:v>
      </x:c>
      <x:c r="G76" s="26" t="str">
        <x:v>Needed</x:v>
      </x:c>
    </x:row>
    <x:row r="77" ht="50" customHeight="1">
      <x:c r="A77" s="26" t="str">
        <x:v>the-renaming</x:v>
      </x:c>
      <x:c r="B77" s="26" t="str">
        <x:v>Extraction / Collection</x:v>
      </x:c>
      <x:c r="C77" s="26" t="str">
        <x:v>collection record; accession/custody document; object image rights; institutional correspondence; access-status evidence</x:v>
      </x:c>
      <x:c r="D77" s="26" t="str">
        <x:v>Verified source, licence, credit, alt text, claim supported, date/place, manipulation disclosure</x:v>
      </x:c>
      <x:c r="E77" s="26" t="str">
        <x:v>Later</x:v>
      </x:c>
      <x:c r="F77" s="26" t="str">
        <x:v>To research</x:v>
      </x:c>
      <x:c r="G77" s="26" t="str">
        <x:v>Needed</x:v>
      </x:c>
    </x:row>
    <x:row r="78" ht="50" customHeight="1">
      <x:c r="A78" s="26" t="str">
        <x:v>the-three-ancestries</x:v>
      </x:c>
      <x:c r="B78" s="26" t="str">
        <x:v>Living Signal Field</x:v>
      </x:c>
      <x:c r="C78" s="26" t="str">
        <x:v>verified dataset; accessible SVG/map; legend; mobile alternative; downloadable table</x:v>
      </x:c>
      <x:c r="D78" s="26" t="str">
        <x:v>Verified source, licence, credit, alt text, claim supported, date/place, manipulation disclosure</x:v>
      </x:c>
      <x:c r="E78" s="26" t="str">
        <x:v>Later</x:v>
      </x:c>
      <x:c r="F78" s="26" t="str">
        <x:v>To research</x:v>
      </x:c>
      <x:c r="G78" s="26" t="str">
        <x:v>Needed</x:v>
      </x:c>
    </x:row>
    <x:row r="79" ht="50" customHeight="1">
      <x:c r="A79" s="26" t="str">
        <x:v>the-uneven-arrival</x:v>
      </x:c>
      <x:c r="B79" s="26" t="str">
        <x:v>Reading Room</x:v>
      </x:c>
      <x:c r="C79" s="26" t="str">
        <x:v>opening atmosphere asset; claim-specific diagram; source facsimile; social card</x:v>
      </x:c>
      <x:c r="D79" s="26" t="str">
        <x:v>Verified source, licence, credit, alt text, claim supported, date/place, manipulation disclosure</x:v>
      </x:c>
      <x:c r="E79" s="26" t="str">
        <x:v>Later</x:v>
      </x:c>
      <x:c r="F79" s="26" t="str">
        <x:v>To research</x:v>
      </x:c>
      <x:c r="G79" s="26" t="str">
        <x:v>Needed</x:v>
      </x:c>
    </x:row>
    <x:row r="80" ht="50" customHeight="1">
      <x:c r="A80" s="26" t="str">
        <x:v>the-unwritten</x:v>
      </x:c>
      <x:c r="B80" s="26" t="str">
        <x:v>Nocturnal Veḷi</x:v>
      </x:c>
      <x:c r="C80" s="26" t="str">
        <x:v>manuscript/inscription image; glyph diagram; language map; pronunciation audio where licensed</x:v>
      </x:c>
      <x:c r="D80" s="26" t="str">
        <x:v>Verified source, licence, credit, alt text, claim supported, date/place, manipulation disclosure</x:v>
      </x:c>
      <x:c r="E80" s="26" t="str">
        <x:v>Later</x:v>
      </x:c>
      <x:c r="F80" s="26" t="str">
        <x:v>To research</x:v>
      </x:c>
      <x:c r="G80" s="26" t="str">
        <x:v>Needed</x:v>
      </x:c>
    </x:row>
    <x:row r="81" ht="50" customHeight="1">
      <x:c r="A81" s="26" t="str">
        <x:v>the-vedda</x:v>
      </x:c>
      <x:c r="B81" s="26" t="str">
        <x:v>Reading Room</x:v>
      </x:c>
      <x:c r="C81" s="26" t="str">
        <x:v>opening atmosphere asset; claim-specific diagram; source facsimile; social card</x:v>
      </x:c>
      <x:c r="D81" s="26" t="str">
        <x:v>Verified source, licence, credit, alt text, claim supported, date/place, manipulation disclosure</x:v>
      </x:c>
      <x:c r="E81" s="26" t="str">
        <x:v>Later</x:v>
      </x:c>
      <x:c r="F81" s="26" t="str">
        <x:v>To research</x:v>
      </x:c>
      <x:c r="G81" s="26" t="str">
        <x:v>Needed</x:v>
      </x:c>
    </x:row>
    <x:row r="82" ht="50" customHeight="1">
      <x:c r="A82" s="26" t="str">
        <x:v>the-visitors</x:v>
      </x:c>
      <x:c r="B82" s="26" t="str">
        <x:v>Living Signal Field</x:v>
      </x:c>
      <x:c r="C82" s="26" t="str">
        <x:v>verified dataset; accessible SVG/map; legend; mobile alternative; downloadable table</x:v>
      </x:c>
      <x:c r="D82" s="26" t="str">
        <x:v>Verified source, licence, credit, alt text, claim supported, date/place, manipulation disclosure</x:v>
      </x:c>
      <x:c r="E82" s="26" t="str">
        <x:v>Later</x:v>
      </x:c>
      <x:c r="F82" s="26" t="str">
        <x:v>To research</x:v>
      </x:c>
      <x:c r="G82" s="26" t="str">
        <x:v>Needed</x:v>
      </x:c>
    </x:row>
    <x:row r="83" ht="50" customHeight="1">
      <x:c r="A83" s="26" t="str">
        <x:v>the-water-city</x:v>
      </x:c>
      <x:c r="B83" s="26" t="str">
        <x:v>Living Tiṇai</x:v>
      </x:c>
      <x:c r="C83" s="26" t="str">
        <x:v>site/landscape photography; material macro; ecological map; present-context image</x:v>
      </x:c>
      <x:c r="D83" s="26" t="str">
        <x:v>Verified source, licence, credit, alt text, claim supported, date/place, manipulation disclosure</x:v>
      </x:c>
      <x:c r="E83" s="26" t="str">
        <x:v>MVP</x:v>
      </x:c>
      <x:c r="F83" s="26" t="str">
        <x:v>To research</x:v>
      </x:c>
      <x:c r="G83" s="26" t="str">
        <x:v>Needed</x:v>
      </x:c>
    </x:row>
    <x:row r="84" ht="50" customHeight="1">
      <x:c r="A84" s="26" t="str">
        <x:v>the-womb-doctrine</x:v>
      </x:c>
      <x:c r="B84" s="26" t="str">
        <x:v>Tamil Retrofuture</x:v>
      </x:c>
      <x:c r="C84" s="26" t="str">
        <x:v>primary-text facsimile; translation excerpt rights; editorial illustration or print ephemera where appropriate</x:v>
      </x:c>
      <x:c r="D84" s="26" t="str">
        <x:v>Verified source, licence, credit, alt text, claim supported, date/place, manipulation disclosure</x:v>
      </x:c>
      <x:c r="E84" s="26" t="str">
        <x:v>Later</x:v>
      </x:c>
      <x:c r="F84" s="26" t="str">
        <x:v>To research</x:v>
      </x:c>
      <x:c r="G84" s="26" t="str">
        <x:v>Needed</x:v>
      </x:c>
    </x:row>
    <x:row r="85" ht="50" customHeight="1">
      <x:c r="A85" s="26" t="str">
        <x:v>the-words-of-caste</x:v>
      </x:c>
      <x:c r="B85" s="26" t="str">
        <x:v>Tamil Retrofuture</x:v>
      </x:c>
      <x:c r="C85" s="26" t="str">
        <x:v>primary-text facsimile; translation excerpt rights; editorial illustration or print ephemera where appropriate</x:v>
      </x:c>
      <x:c r="D85" s="26" t="str">
        <x:v>Verified source, licence, credit, alt text, claim supported, date/place, manipulation disclosure</x:v>
      </x:c>
      <x:c r="E85" s="26" t="str">
        <x:v>Later</x:v>
      </x:c>
      <x:c r="F85" s="26" t="str">
        <x:v>To research</x:v>
      </x:c>
      <x:c r="G85" s="26" t="str">
        <x:v>Needed</x:v>
      </x:c>
    </x:row>
    <x:row r="86" ht="50" customHeight="1">
      <x:c r="A86" s="26" t="str">
        <x:v>therigatha</x:v>
      </x:c>
      <x:c r="B86" s="26" t="str">
        <x:v>Reading Room</x:v>
      </x:c>
      <x:c r="C86" s="26" t="str">
        <x:v>opening atmosphere asset; claim-specific diagram; source facsimile; social card</x:v>
      </x:c>
      <x:c r="D86" s="26" t="str">
        <x:v>Verified source, licence, credit, alt text, claim supported, date/place, manipulation disclosure</x:v>
      </x:c>
      <x:c r="E86" s="26" t="str">
        <x:v>High</x:v>
      </x:c>
      <x:c r="F86" s="26" t="str">
        <x:v>To research</x:v>
      </x:c>
      <x:c r="G86" s="26" t="str">
        <x:v>Needed</x:v>
      </x:c>
    </x:row>
    <x:row r="87" ht="50" customHeight="1">
      <x:c r="A87" s="26" t="str">
        <x:v>they-already-knew</x:v>
      </x:c>
      <x:c r="B87" s="26" t="str">
        <x:v>Reading Room</x:v>
      </x:c>
      <x:c r="C87" s="26" t="str">
        <x:v>opening atmosphere asset; claim-specific diagram; source facsimile; social card</x:v>
      </x:c>
      <x:c r="D87" s="26" t="str">
        <x:v>Verified source, licence, credit, alt text, claim supported, date/place, manipulation disclosure</x:v>
      </x:c>
      <x:c r="E87" s="26" t="str">
        <x:v>High</x:v>
      </x:c>
      <x:c r="F87" s="26" t="str">
        <x:v>To research</x:v>
      </x:c>
      <x:c r="G87" s="26" t="str">
        <x:v>Needed</x:v>
      </x:c>
    </x:row>
    <x:row r="88" ht="50" customHeight="1">
      <x:c r="A88" s="26" t="str">
        <x:v>tinai</x:v>
      </x:c>
      <x:c r="B88" s="26" t="str">
        <x:v>Living Tiṇai</x:v>
      </x:c>
      <x:c r="C88" s="26" t="str">
        <x:v>opening atmosphere asset; claim-specific diagram; source facsimile; social card</x:v>
      </x:c>
      <x:c r="D88" s="26" t="str">
        <x:v>Verified source, licence, credit, alt text, claim supported, date/place, manipulation disclosure</x:v>
      </x:c>
      <x:c r="E88" s="26" t="str">
        <x:v>MVP</x:v>
      </x:c>
      <x:c r="F88" s="26" t="str">
        <x:v>To research</x:v>
      </x:c>
      <x:c r="G88" s="26" t="str">
        <x:v>Needed</x:v>
      </x:c>
    </x:row>
    <x:row r="89" ht="50" customHeight="1">
      <x:c r="A89" s="26" t="str">
        <x:v>two-classical-languages</x:v>
      </x:c>
      <x:c r="B89" s="26" t="str">
        <x:v>Living Signal Field</x:v>
      </x:c>
      <x:c r="C89" s="26" t="str">
        <x:v>verified dataset; accessible SVG/map; legend; mobile alternative; downloadable table</x:v>
      </x:c>
      <x:c r="D89" s="26" t="str">
        <x:v>Verified source, licence, credit, alt text, claim supported, date/place, manipulation disclosure</x:v>
      </x:c>
      <x:c r="E89" s="26" t="str">
        <x:v>Later</x:v>
      </x:c>
      <x:c r="F89" s="26" t="str">
        <x:v>To research</x:v>
      </x:c>
      <x:c r="G89" s="26" t="str">
        <x:v>Needed</x:v>
      </x:c>
    </x:row>
    <x:row r="90" ht="50" customHeight="1">
      <x:c r="A90" s="26" t="str">
        <x:v>veli</x:v>
      </x:c>
      <x:c r="B90" s="26" t="str">
        <x:v>Nocturnal Veḷi</x:v>
      </x:c>
      <x:c r="C90" s="26" t="str">
        <x:v>manuscript/inscription image; glyph diagram; language map; pronunciation audio where licensed</x:v>
      </x:c>
      <x:c r="D90" s="26" t="str">
        <x:v>Verified source, licence, credit, alt text, claim supported, date/place, manipulation disclosure</x:v>
      </x:c>
      <x:c r="E90" s="26" t="str">
        <x:v>MVP</x:v>
      </x:c>
      <x:c r="F90" s="26" t="str">
        <x:v>To research</x:v>
      </x:c>
      <x:c r="G90" s="26" t="str">
        <x:v>Needed</x:v>
      </x:c>
    </x:row>
    <x:row r="91" ht="50" customHeight="1">
      <x:c r="A91" s="26" t="str">
        <x:v>visvamitra</x:v>
      </x:c>
      <x:c r="B91" s="26" t="str">
        <x:v>Reading Room</x:v>
      </x:c>
      <x:c r="C91" s="26" t="str">
        <x:v>opening atmosphere asset; claim-specific diagram; source facsimile; social card</x:v>
      </x:c>
      <x:c r="D91" s="26" t="str">
        <x:v>Verified source, licence, credit, alt text, claim supported, date/place, manipulation disclosure</x:v>
      </x:c>
      <x:c r="E91" s="26" t="str">
        <x:v>Later</x:v>
      </x:c>
      <x:c r="F91" s="26" t="str">
        <x:v>To research</x:v>
      </x:c>
      <x:c r="G91" s="26" t="str">
        <x:v>Needed</x:v>
      </x:c>
    </x:row>
    <x:row r="92" ht="50" customHeight="1">
      <x:c r="A92" s="26" t="str">
        <x:v>what-the-children-are-taught</x:v>
      </x:c>
      <x:c r="B92" s="26" t="str">
        <x:v>Tamil Retrofuture</x:v>
      </x:c>
      <x:c r="C92" s="26" t="str">
        <x:v>primary-text facsimile; translation excerpt rights; editorial illustration or print ephemera where appropriate</x:v>
      </x:c>
      <x:c r="D92" s="26" t="str">
        <x:v>Verified source, licence, credit, alt text, claim supported, date/place, manipulation disclosure</x:v>
      </x:c>
      <x:c r="E92" s="26" t="str">
        <x:v>Later</x:v>
      </x:c>
      <x:c r="F92" s="26" t="str">
        <x:v>To research</x:v>
      </x:c>
      <x:c r="G92" s="26" t="str">
        <x:v>Needed</x:v>
      </x:c>
    </x:row>
    <x:row r="93" ht="50" customHeight="1">
      <x:c r="A93" s="26" t="str">
        <x:v>what-they-had</x:v>
      </x:c>
      <x:c r="B93" s="26" t="str">
        <x:v>Reading Room</x:v>
      </x:c>
      <x:c r="C93" s="26" t="str">
        <x:v>opening atmosphere asset; claim-specific diagram; source facsimile; social card</x:v>
      </x:c>
      <x:c r="D93" s="26" t="str">
        <x:v>Verified source, licence, credit, alt text, claim supported, date/place, manipulation disclosure</x:v>
      </x:c>
      <x:c r="E93" s="26" t="str">
        <x:v>Later</x:v>
      </x:c>
      <x:c r="F93" s="26" t="str">
        <x:v>To research</x:v>
      </x:c>
      <x:c r="G93" s="26" t="str">
        <x:v>Needed</x:v>
      </x:c>
    </x:row>
    <x:row r="94" ht="50" customHeight="1">
      <x:c r="A94" s="26" t="str">
        <x:v>what-travelled</x:v>
      </x:c>
      <x:c r="B94" s="26" t="str">
        <x:v>Living Signal Field</x:v>
      </x:c>
      <x:c r="C94" s="26" t="str">
        <x:v>verified dataset; accessible SVG/map; legend; mobile alternative; downloadable table</x:v>
      </x:c>
      <x:c r="D94" s="26" t="str">
        <x:v>Verified source, licence, credit, alt text, claim supported, date/place, manipulation disclosure</x:v>
      </x:c>
      <x:c r="E94" s="26" t="str">
        <x:v>Later</x:v>
      </x:c>
      <x:c r="F94" s="26" t="str">
        <x:v>To research</x:v>
      </x:c>
      <x:c r="G94" s="26" t="str">
        <x:v>Needed</x:v>
      </x:c>
    </x:row>
    <x:row r="95" ht="50" customHeight="1">
      <x:c r="A95" s="26" t="str">
        <x:v>what-varna-meant</x:v>
      </x:c>
      <x:c r="B95" s="26" t="str">
        <x:v>Tamil Retrofuture</x:v>
      </x:c>
      <x:c r="C95" s="26" t="str">
        <x:v>primary-text facsimile; translation excerpt rights; editorial illustration or print ephemera where appropriate</x:v>
      </x:c>
      <x:c r="D95" s="26" t="str">
        <x:v>Verified source, licence, credit, alt text, claim supported, date/place, manipulation disclosure</x:v>
      </x:c>
      <x:c r="E95" s="26" t="str">
        <x:v>High</x:v>
      </x:c>
      <x:c r="F95" s="26" t="str">
        <x:v>To research</x:v>
      </x:c>
      <x:c r="G95" s="26" t="str">
        <x:v>Needed</x:v>
      </x:c>
    </x:row>
    <x:row r="96" ht="50" customHeight="1">
      <x:c r="A96" s="26" t="str">
        <x:v>who-had-it-first</x:v>
      </x:c>
      <x:c r="B96" s="26" t="str">
        <x:v>Reading Room</x:v>
      </x:c>
      <x:c r="C96" s="26" t="str">
        <x:v>opening atmosphere asset; claim-specific diagram; source facsimile; social card</x:v>
      </x:c>
      <x:c r="D96" s="26" t="str">
        <x:v>Verified source, licence, credit, alt text, claim supported, date/place, manipulation disclosure</x:v>
      </x:c>
      <x:c r="E96" s="26" t="str">
        <x:v>High</x:v>
      </x:c>
      <x:c r="F96" s="26" t="str">
        <x:v>To research</x:v>
      </x:c>
      <x:c r="G96" s="26" t="str">
        <x:v>Needed</x:v>
      </x:c>
    </x:row>
    <x:row r="97" ht="50" customHeight="1">
      <x:c r="A97" s="26" t="str">
        <x:v>who-is-speaking</x:v>
      </x:c>
      <x:c r="B97" s="26" t="str">
        <x:v>Reading Room</x:v>
      </x:c>
      <x:c r="C97" s="26" t="str">
        <x:v>opening atmosphere asset; claim-specific diagram; source facsimile; social card</x:v>
      </x:c>
      <x:c r="D97" s="26" t="str">
        <x:v>Verified source, licence, credit, alt text, claim supported, date/place, manipulation disclosure</x:v>
      </x:c>
      <x:c r="E97" s="26" t="str">
        <x:v>Later</x:v>
      </x:c>
      <x:c r="F97" s="26" t="str">
        <x:v>To research</x:v>
      </x:c>
      <x:c r="G97" s="26" t="str">
        <x:v>Needed</x:v>
      </x:c>
    </x:row>
    <x:row r="98" ht="50" customHeight="1">
      <x:c r="A98" s="26" t="str">
        <x:v>who-named-india</x:v>
      </x:c>
      <x:c r="B98" s="26" t="str">
        <x:v>Reading Room</x:v>
      </x:c>
      <x:c r="C98" s="26" t="str">
        <x:v>opening atmosphere asset; claim-specific diagram; source facsimile; social card</x:v>
      </x:c>
      <x:c r="D98" s="26" t="str">
        <x:v>Verified source, licence, credit, alt text, claim supported, date/place, manipulation disclosure</x:v>
      </x:c>
      <x:c r="E98" s="26" t="str">
        <x:v>Later</x:v>
      </x:c>
      <x:c r="F98" s="26" t="str">
        <x:v>To research</x:v>
      </x:c>
      <x:c r="G98" s="26" t="str">
        <x:v>Needed</x:v>
      </x:c>
    </x:row>
    <x:row r="99" ht="50" customHeight="1">
      <x:c r="A99" s="26" t="str">
        <x:v>who-writes-the-textbook</x:v>
      </x:c>
      <x:c r="B99" s="26" t="str">
        <x:v>Extraction / Collection</x:v>
      </x:c>
      <x:c r="C99" s="26" t="str">
        <x:v>collection record; accession/custody document; object image rights; institutional correspondence; access-status evidence</x:v>
      </x:c>
      <x:c r="D99" s="26" t="str">
        <x:v>Verified source, licence, credit, alt text, claim supported, date/place, manipulation disclosure</x:v>
      </x:c>
      <x:c r="E99" s="26" t="str">
        <x:v>Later</x:v>
      </x:c>
      <x:c r="F99" s="26" t="str">
        <x:v>To research</x:v>
      </x:c>
      <x:c r="G99" s="26" t="str">
        <x:v>Needed</x:v>
      </x:c>
    </x:row>
    <x:row r="100" ht="50" customHeight="1">
      <x:c r="A100" s="27" t="str">
        <x:v>why-the-ranked-defend-the-ranking</x:v>
      </x:c>
      <x:c r="B100" s="27" t="str">
        <x:v>Tamil Retrofuture</x:v>
      </x:c>
      <x:c r="C100" s="27" t="str">
        <x:v>primary-text facsimile; translation excerpt rights; editorial illustration or print ephemera where appropriate</x:v>
      </x:c>
      <x:c r="D100" s="27" t="str">
        <x:v>Verified source, licence, credit, alt text, claim supported, date/place, manipulation disclosure</x:v>
      </x:c>
      <x:c r="E100" s="27" t="str">
        <x:v>High</x:v>
      </x:c>
      <x:c r="F100" s="27" t="str">
        <x:v>To research</x:v>
      </x:c>
      <x:c r="G100" s="27" t="str">
        <x:v>Needed</x:v>
      </x:c>
    </x:row>
  </x:sheetData>
  <x:mergeCells>
    <x:mergeCell ref="A1:G1"/>
    <x:mergeCell ref="A2:G2"/>
  </x:mergeCells>
  <x:pageMargins left="0.7" right="0.7" top="0.75" bottom="0.75" header="0.3" footer="0.3"/>
  <x:tableParts count="1">
    <x:tablePart xmlns:r="http://schemas.openxmlformats.org/officeDocument/2006/relationships" r:id="Rb69c5aae8f1547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45" hidden="0" customWidth="1"/>
    <x:col min="4" max="4" width="24" hidden="0" customWidth="1"/>
    <x:col min="5" max="5" width="12" hidden="0" customWidth="1"/>
    <x:col min="6" max="6" width="12" hidden="0" customWidth="1"/>
    <x:col min="7" max="7" width="65" hidden="0" customWidth="1"/>
    <x:col min="8" max="8" width="16" hidden="0" customWidth="1"/>
  </x:cols>
  <x:sheetData>
    <x:row r="1" ht="28" customHeight="1">
      <x:c r="A1" s="34" t="str">
        <x:v>Prioritized MVP release set</x:v>
      </x:c>
      <x:c r="B1" s="34"/>
      <x:c r="C1" s="34"/>
      <x:c r="D1" s="34"/>
      <x:c r="E1" s="34"/>
      <x:c r="F1" s="34"/>
      <x:c r="G1" s="34"/>
      <x:c r="H1" s="34"/>
    </x:row>
    <x:row r="2" ht="34" customHeight="1">
      <x:c r="A2" s="35" t="str">
        <x:v>Fifteen pages that demonstrate the institution, atlas, evidence standards and range without pretending all 96 are ready.</x:v>
      </x:c>
      <x:c r="B2" s="35"/>
      <x:c r="C2" s="35"/>
      <x:c r="D2" s="35"/>
      <x:c r="E2" s="35"/>
      <x:c r="F2" s="35"/>
      <x:c r="G2" s="35"/>
      <x:c r="H2" s="35"/>
    </x:row>
    <x:row r="3">
      <x:c r="A3" s="36"/>
      <x:c r="B3" s="36"/>
      <x:c r="C3" s="36"/>
      <x:c r="D3" s="36"/>
      <x:c r="E3" s="36"/>
      <x:c r="F3" s="36"/>
      <x:c r="G3" s="36"/>
      <x:c r="H3" s="36"/>
    </x:row>
    <x:row r="4">
      <x:c r="A4" s="37" t="str">
        <x:v>Rank</x:v>
      </x:c>
      <x:c r="B4" s="37" t="str">
        <x:v>Slug</x:v>
      </x:c>
      <x:c r="C4" s="37" t="str">
        <x:v>Title</x:v>
      </x:c>
      <x:c r="D4" s="37" t="str">
        <x:v>Environment</x:v>
      </x:c>
      <x:c r="E4" s="37" t="str">
        <x:v>Decision</x:v>
      </x:c>
      <x:c r="F4" s="37" t="str">
        <x:v>Risk</x:v>
      </x:c>
      <x:c r="G4" s="37" t="str">
        <x:v>Release dependency</x:v>
      </x:c>
      <x:c r="H4" s="37" t="str">
        <x:v>Status</x:v>
      </x:c>
    </x:row>
    <x:row r="5" ht="52" customHeight="1">
      <x:c r="A5" s="32" t="n">
        <x:v>1</x:v>
      </x:c>
      <x:c r="B5" s="26" t="str">
        <x:v>index</x:v>
      </x:c>
      <x:c r="C5" s="26" t="str">
        <x:v>Veli: A Digital Museum of Ancient South Asia</x:v>
      </x:c>
      <x:c r="D5" s="26" t="str">
        <x:v>Nocturnal Veḷi</x:v>
      </x:c>
      <x:c r="E5" s="26" t="str">
        <x:v>Revise</x:v>
      </x:c>
      <x:c r="F5" s="26" t="str">
        <x:v>Medium</x:v>
      </x:c>
      <x:c r="G5" s="26" t="str">
        <x:v>Add claim-level citations, qualify scope and chronology, expose competing interpretations, and reduce unsupported certainty.</x:v>
      </x:c>
      <x:c r="H5" s="26" t="str">
        <x:v>Not started</x:v>
      </x:c>
    </x:row>
    <x:row r="6" ht="52" customHeight="1">
      <x:c r="A6" s="32" t="n">
        <x:v>2</x:v>
      </x:c>
      <x:c r="B6" s="26" t="str">
        <x:v>enter</x:v>
      </x:c>
      <x:c r="C6" s="26" t="str">
        <x:v>Enter Veli: Explore, Exhibits, Evidence, Learn</x:v>
      </x:c>
      <x:c r="D6" s="26" t="str">
        <x:v>Tamil Retrofuture</x:v>
      </x:c>
      <x:c r="E6" s="26" t="str">
        <x:v>Revise</x:v>
      </x:c>
      <x:c r="F6" s="26" t="str">
        <x:v>Medium</x:v>
      </x:c>
      <x:c r="G6" s="26" t="str">
        <x:v>Add claim-level citations, qualify scope and chronology, expose competing interpretations, and reduce unsupported certainty.</x:v>
      </x:c>
      <x:c r="H6" s="26" t="str">
        <x:v>Not started</x:v>
      </x:c>
    </x:row>
    <x:row r="7" ht="52" customHeight="1">
      <x:c r="A7" s="32" t="n">
        <x:v>3</x:v>
      </x:c>
      <x:c r="B7" s="26" t="str">
        <x:v>artifact-atlas</x:v>
      </x:c>
      <x:c r="C7" s="26" t="str">
        <x:v>Artifact Atlas: 175 Ancient South Asian Sites Mapped</x:v>
      </x:c>
      <x:c r="D7" s="26" t="str">
        <x:v>Living Signal Field</x:v>
      </x:c>
      <x:c r="E7" s="26" t="str">
        <x:v>Keep</x:v>
      </x:c>
      <x:c r="F7" s="26" t="str">
        <x:v>Low</x:v>
      </x:c>
      <x:c r="G7" s="26" t="str">
        <x:v>Preserve the core argument; complete citation, image-rights, accessibility, and copy review before publication.</x:v>
      </x:c>
      <x:c r="H7" s="26" t="str">
        <x:v>Not started</x:v>
      </x:c>
    </x:row>
    <x:row r="8" ht="52" customHeight="1">
      <x:c r="A8" s="32" t="n">
        <x:v>4</x:v>
      </x:c>
      <x:c r="B8" s="26" t="str">
        <x:v>veli</x:v>
      </x:c>
      <x:c r="C8" s="26" t="str">
        <x:v>Veli: The Open, and What Was Put Outside</x:v>
      </x:c>
      <x:c r="D8" s="26" t="str">
        <x:v>Nocturnal Veḷi</x:v>
      </x:c>
      <x:c r="E8" s="26" t="str">
        <x:v>Keep</x:v>
      </x:c>
      <x:c r="F8" s="26" t="str">
        <x:v>Low</x:v>
      </x:c>
      <x:c r="G8" s="26" t="str">
        <x:v>Preserve the core argument; complete citation, image-rights, accessibility, and copy review before publication.</x:v>
      </x:c>
      <x:c r="H8" s="26" t="str">
        <x:v>Not started</x:v>
      </x:c>
    </x:row>
    <x:row r="9" ht="52" customHeight="1">
      <x:c r="A9" s="32" t="n">
        <x:v>5</x:v>
      </x:c>
      <x:c r="B9" s="26" t="str">
        <x:v>tinai</x:v>
      </x:c>
      <x:c r="C9" s="26" t="str">
        <x:v>Tinai: The Tamil Poetics of Five Landscapes</x:v>
      </x:c>
      <x:c r="D9" s="26" t="str">
        <x:v>Living Tiṇai</x:v>
      </x:c>
      <x:c r="E9" s="26" t="str">
        <x:v>Keep</x:v>
      </x:c>
      <x:c r="F9" s="26" t="str">
        <x:v>Low</x:v>
      </x:c>
      <x:c r="G9" s="26" t="str">
        <x:v>Preserve the core argument; complete citation, image-rights, accessibility, and copy review before publication.</x:v>
      </x:c>
      <x:c r="H9" s="26" t="str">
        <x:v>Not started</x:v>
      </x:c>
    </x:row>
    <x:row r="10" ht="52" customHeight="1">
      <x:c r="A10" s="32" t="n">
        <x:v>6</x:v>
      </x:c>
      <x:c r="B10" s="26" t="str">
        <x:v>the-ledger</x:v>
      </x:c>
      <x:c r="C10" s="26" t="str">
        <x:v>The Source Ledger: Ranking Evidence and Checking Scholars</x:v>
      </x:c>
      <x:c r="D10" s="26" t="str">
        <x:v>Reading Room</x:v>
      </x:c>
      <x:c r="E10" s="26" t="str">
        <x:v>Keep</x:v>
      </x:c>
      <x:c r="F10" s="26" t="str">
        <x:v>Low</x:v>
      </x:c>
      <x:c r="G10" s="26" t="str">
        <x:v>Preserve the core argument; complete citation, image-rights, accessibility, and copy review before publication.</x:v>
      </x:c>
      <x:c r="H10" s="26" t="str">
        <x:v>Not started</x:v>
      </x:c>
    </x:row>
    <x:row r="11" ht="52" customHeight="1">
      <x:c r="A11" s="32" t="n">
        <x:v>7</x:v>
      </x:c>
      <x:c r="B11" s="26" t="str">
        <x:v>keeladi</x:v>
      </x:c>
      <x:c r="C11" s="26" t="str">
        <x:v>Keeladi: A Literate Tamil City from 6th Century BCE</x:v>
      </x:c>
      <x:c r="D11" s="26" t="str">
        <x:v>Living Tiṇai</x:v>
      </x:c>
      <x:c r="E11" s="26" t="str">
        <x:v>Keep</x:v>
      </x:c>
      <x:c r="F11" s="26" t="str">
        <x:v>Low</x:v>
      </x:c>
      <x:c r="G11" s="26" t="str">
        <x:v>Preserve the core argument; complete citation, image-rights, accessibility, and copy review before publication.</x:v>
      </x:c>
      <x:c r="H11" s="26" t="str">
        <x:v>Not started</x:v>
      </x:c>
    </x:row>
    <x:row r="12" ht="52" customHeight="1">
      <x:c r="A12" s="32" t="n">
        <x:v>8</x:v>
      </x:c>
      <x:c r="B12" s="26" t="str">
        <x:v>before-the-indus</x:v>
      </x:c>
      <x:c r="C12" s="26" t="str">
        <x:v>Before the Indus: Baghor Shrine and Mesolithic Sun Graves</x:v>
      </x:c>
      <x:c r="D12" s="26" t="str">
        <x:v>Nocturnal Veḷi</x:v>
      </x:c>
      <x:c r="E12" s="26" t="str">
        <x:v>Hold</x:v>
      </x:c>
      <x:c r="F12" s="26" t="str">
        <x:v>Critical</x:v>
      </x:c>
      <x:c r="G12" s="26" t="str">
        <x:v>Withhold from MVP until load-bearing claims receive claim-level citations and specialist/editorial review.</x:v>
      </x:c>
      <x:c r="H12" s="26" t="str">
        <x:v>Not started</x:v>
      </x:c>
    </x:row>
    <x:row r="13" ht="52" customHeight="1">
      <x:c r="A13" s="32" t="n">
        <x:v>9</x:v>
      </x:c>
      <x:c r="B13" s="26" t="str">
        <x:v>the-water-city</x:v>
      </x:c>
      <x:c r="C13" s="26" t="str">
        <x:v>Indus Water Engineering: Drains, Wells and No Palaces</x:v>
      </x:c>
      <x:c r="D13" s="26" t="str">
        <x:v>Living Tiṇai</x:v>
      </x:c>
      <x:c r="E13" s="26" t="str">
        <x:v>Keep</x:v>
      </x:c>
      <x:c r="F13" s="26" t="str">
        <x:v>Low</x:v>
      </x:c>
      <x:c r="G13" s="26" t="str">
        <x:v>Preserve the core argument; complete citation, image-rights, accessibility, and copy review before publication.</x:v>
      </x:c>
      <x:c r="H13" s="26" t="str">
        <x:v>Not started</x:v>
      </x:c>
    </x:row>
    <x:row r="14" ht="52" customHeight="1">
      <x:c r="A14" s="32" t="n">
        <x:v>10</x:v>
      </x:c>
      <x:c r="B14" s="26" t="str">
        <x:v>kural</x:v>
      </x:c>
      <x:c r="C14" s="26" t="str">
        <x:v>Tirukkural: Tamil Ethics Without Caste or Ritual</x:v>
      </x:c>
      <x:c r="D14" s="26" t="str">
        <x:v>Tamil Retrofuture</x:v>
      </x:c>
      <x:c r="E14" s="26" t="str">
        <x:v>Revise</x:v>
      </x:c>
      <x:c r="F14" s="26" t="str">
        <x:v>Medium</x:v>
      </x:c>
      <x:c r="G14" s="26" t="str">
        <x:v>Add claim-level citations, qualify scope and chronology, expose competing interpretations, and reduce unsupported certainty.</x:v>
      </x:c>
      <x:c r="H14" s="26" t="str">
        <x:v>Not started</x:v>
      </x:c>
    </x:row>
    <x:row r="15" ht="52" customHeight="1">
      <x:c r="A15" s="32" t="n">
        <x:v>11</x:v>
      </x:c>
      <x:c r="B15" s="26" t="str">
        <x:v>sound-changes</x:v>
      </x:c>
      <x:c r="C15" s="26" t="str">
        <x:v>Sound Changes: Dravidian Phonemes Sanskrit Could Not Write</x:v>
      </x:c>
      <x:c r="D15" s="26" t="str">
        <x:v>Living Signal Field</x:v>
      </x:c>
      <x:c r="E15" s="26" t="str">
        <x:v>Revise</x:v>
      </x:c>
      <x:c r="F15" s="26" t="str">
        <x:v>Medium</x:v>
      </x:c>
      <x:c r="G15" s="26" t="str">
        <x:v>Add claim-level citations, qualify scope and chronology, expose competing interpretations, and reduce unsupported certainty.</x:v>
      </x:c>
      <x:c r="H15" s="26" t="str">
        <x:v>Not started</x:v>
      </x:c>
    </x:row>
    <x:row r="16" ht="52" customHeight="1">
      <x:c r="A16" s="32" t="n">
        <x:v>12</x:v>
      </x:c>
      <x:c r="B16" s="26" t="str">
        <x:v>the-languages-we-lost</x:v>
      </x:c>
      <x:c r="C16" s="26" t="str">
        <x:v>Language Isolates of South Asia: Burushaski, Kusunda, Nihali</x:v>
      </x:c>
      <x:c r="D16" s="26" t="str">
        <x:v>Nocturnal Veḷi</x:v>
      </x:c>
      <x:c r="E16" s="26" t="str">
        <x:v>Keep</x:v>
      </x:c>
      <x:c r="F16" s="26" t="str">
        <x:v>Low</x:v>
      </x:c>
      <x:c r="G16" s="26" t="str">
        <x:v>Preserve the core argument; complete citation, image-rights, accessibility, and copy review before publication.</x:v>
      </x:c>
      <x:c r="H16" s="26" t="str">
        <x:v>Not started</x:v>
      </x:c>
    </x:row>
    <x:row r="17" ht="52" customHeight="1">
      <x:c r="A17" s="32" t="n">
        <x:v>13</x:v>
      </x:c>
      <x:c r="B17" s="26" t="str">
        <x:v>the-other-laws</x:v>
      </x:c>
      <x:c r="C17" s="26" t="str">
        <x:v>Law Beyond the Dharmasastra: Other Legal Traditions</x:v>
      </x:c>
      <x:c r="D17" s="26" t="str">
        <x:v>Tamil Retrofuture</x:v>
      </x:c>
      <x:c r="E17" s="26" t="str">
        <x:v>Split</x:v>
      </x:c>
      <x:c r="F17" s="26" t="str">
        <x:v>Low</x:v>
      </x:c>
      <x:c r="G17" s="26" t="str">
        <x:v>Split the argument or interactive/data layer from the long-form interpretation; preserve one canonical overview.</x:v>
      </x:c>
      <x:c r="H17" s="26" t="str">
        <x:v>Not started</x:v>
      </x:c>
    </x:row>
    <x:row r="18" ht="52" customHeight="1">
      <x:c r="A18" s="32" t="n">
        <x:v>14</x:v>
      </x:c>
      <x:c r="B18" s="26" t="str">
        <x:v>custody</x:v>
      </x:c>
      <x:c r="C18" s="26" t="str">
        <x:v>Manuscript Custody: Who Held the Texts and Who Was Kept Out</x:v>
      </x:c>
      <x:c r="D18" s="26" t="str">
        <x:v>Extraction / Collection</x:v>
      </x:c>
      <x:c r="E18" s="26" t="str">
        <x:v>Keep</x:v>
      </x:c>
      <x:c r="F18" s="26" t="str">
        <x:v>Medium</x:v>
      </x:c>
      <x:c r="G18" s="26" t="str">
        <x:v>Preserve the core argument; complete citation, image-rights, accessibility, and copy review before publication.</x:v>
      </x:c>
      <x:c r="H18" s="26" t="str">
        <x:v>Not started</x:v>
      </x:c>
    </x:row>
    <x:row r="19" ht="52" customHeight="1">
      <x:c r="A19" s="33" t="n">
        <x:v>15</x:v>
      </x:c>
      <x:c r="B19" s="27" t="str">
        <x:v>the-archive</x:v>
      </x:c>
      <x:c r="C19" s="27" t="str">
        <x:v>The Archive: What Survived, What Was Lost, and Why</x:v>
      </x:c>
      <x:c r="D19" s="27" t="str">
        <x:v>Extraction / Collection</x:v>
      </x:c>
      <x:c r="E19" s="27" t="str">
        <x:v>Revise</x:v>
      </x:c>
      <x:c r="F19" s="27" t="str">
        <x:v>Medium</x:v>
      </x:c>
      <x:c r="G19" s="27" t="str">
        <x:v>Add claim-level citations, qualify scope and chronology, expose competing interpretations, and reduce unsupported certainty.</x:v>
      </x:c>
      <x:c r="H19" s="27" t="str">
        <x:v>Not started</x:v>
      </x:c>
    </x:row>
  </x:sheetData>
  <x:mergeCells>
    <x:mergeCell ref="A1:H1"/>
    <x:mergeCell ref="A2:H2"/>
  </x:mergeCells>
  <x:pageMargins left="0.7" right="0.7" top="0.75" bottom="0.75" header="0.3" footer="0.3"/>
  <x:tableParts count="1">
    <x:tablePart xmlns:r="http://schemas.openxmlformats.org/officeDocument/2006/relationships" r:id="Reaa63cd2793648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38" hidden="0" customWidth="1"/>
    <x:col min="3" max="3" width="40" hidden="0" customWidth="1"/>
    <x:col min="4" max="4" width="38" hidden="0" customWidth="1"/>
    <x:col min="5" max="5" width="38" hidden="0" customWidth="1"/>
    <x:col min="6" max="6" width="45" hidden="0" customWidth="1"/>
  </x:cols>
  <x:sheetData>
    <x:row r="1" ht="28" customHeight="1">
      <x:c r="A1" s="34" t="str">
        <x:v>Museum environments</x:v>
      </x:c>
      <x:c r="B1" s="34"/>
      <x:c r="C1" s="34"/>
      <x:c r="D1" s="34"/>
      <x:c r="E1" s="34"/>
      <x:c r="F1" s="34"/>
    </x:row>
    <x:row r="2" ht="34" customHeight="1">
      <x:c r="A2" s="35" t="str">
        <x:v>Themes change with the visitor’s relationship to knowledge; the institutional shell remains stable.</x:v>
      </x:c>
      <x:c r="B2" s="35"/>
      <x:c r="C2" s="35"/>
      <x:c r="D2" s="35"/>
      <x:c r="E2" s="35"/>
      <x:c r="F2" s="35"/>
    </x:row>
    <x:row r="3">
      <x:c r="A3" s="36"/>
      <x:c r="B3" s="36"/>
      <x:c r="C3" s="36"/>
      <x:c r="D3" s="36"/>
      <x:c r="E3" s="36"/>
      <x:c r="F3" s="36"/>
    </x:row>
    <x:row r="4">
      <x:c r="A4" s="37" t="str">
        <x:v>Environment</x:v>
      </x:c>
      <x:c r="B4" s="37" t="str">
        <x:v>Function</x:v>
      </x:c>
      <x:c r="C4" s="37" t="str">
        <x:v>Prototype/pages</x:v>
      </x:c>
      <x:c r="D4" s="37" t="str">
        <x:v>Palette role</x:v>
      </x:c>
      <x:c r="E4" s="37" t="str">
        <x:v>Desired effect</x:v>
      </x:c>
      <x:c r="F4" s="37" t="str">
        <x:v>Avoid</x:v>
      </x:c>
    </x:row>
    <x:row r="5" ht="52" customHeight="1">
      <x:c r="A5" s="26" t="str">
        <x:v>Nocturnal Veḷi</x:v>
      </x:c>
      <x:c r="B5" s="26" t="str">
        <x:v>Threshold, deep time, unknowns</x:v>
      </x:c>
      <x:c r="C5" s="26" t="str">
        <x:v>index, veli, before-the-indus</x:v>
      </x:c>
      <x:c r="D5" s="26" t="str">
        <x:v>Blue-black, moon-white, cyan, gold</x:v>
      </x:c>
      <x:c r="E5" s="26" t="str">
        <x:v>Vastness without menace</x:v>
      </x:c>
      <x:c r="F5" s="26" t="str">
        <x:v>No fantasy portal or occult styling</x:v>
      </x:c>
    </x:row>
    <x:row r="6" ht="52" customHeight="1">
      <x:c r="A6" s="26" t="str">
        <x:v>Living Signal Field</x:v>
      </x:c>
      <x:c r="B6" s="26" t="str">
        <x:v>Relationships, movement, comparison</x:v>
      </x:c>
      <x:c r="C6" s="26" t="str">
        <x:v>artifact-atlas, sound-changes</x:v>
      </x:c>
      <x:c r="D6" s="26" t="str">
        <x:v>Midnight, cyan, sage, orange</x:v>
      </x:c>
      <x:c r="E6" s="26" t="str">
        <x:v>Connected evidence</x:v>
      </x:c>
      <x:c r="F6" s="26" t="str">
        <x:v>No gaming HUD or arbitrary links</x:v>
      </x:c>
    </x:row>
    <x:row r="7" ht="52" customHeight="1">
      <x:c r="A7" s="26" t="str">
        <x:v>Tamil Retrofuture</x:v>
      </x:c>
      <x:c r="B7" s="26" t="str">
        <x:v>Counter-history, public energy, learning</x:v>
      </x:c>
      <x:c r="C7" s="26" t="str">
        <x:v>enter, kural, social-history pages</x:v>
      </x:c>
      <x:c r="D7" s="26" t="str">
        <x:v>Aubergine, magenta, orange, cyan</x:v>
      </x:c>
      <x:c r="E7" s="26" t="str">
        <x:v>Spunky cultural memory</x:v>
      </x:c>
      <x:c r="F7" s="26" t="str">
        <x:v>No kitsch, fake Tamil or neon overload</x:v>
      </x:c>
    </x:row>
    <x:row r="8" ht="52" customHeight="1">
      <x:c r="A8" s="26" t="str">
        <x:v>Living Tiṇai</x:v>
      </x:c>
      <x:c r="B8" s="26" t="str">
        <x:v>Ecology, place, material practice</x:v>
      </x:c>
      <x:c r="C8" s="26" t="str">
        <x:v>tinai, keeladi, the-water-city</x:v>
      </x:c>
      <x:c r="D8" s="26" t="str">
        <x:v>Dark green, river blue, clay, sage</x:v>
      </x:c>
      <x:c r="E8" s="26" t="str">
        <x:v>Land as evidence</x:v>
      </x:c>
      <x:c r="F8" s="26" t="str">
        <x:v>No generic landscape decoration</x:v>
      </x:c>
    </x:row>
    <x:row r="9" ht="52" customHeight="1">
      <x:c r="A9" s="26" t="str">
        <x:v>Reading Room</x:v>
      </x:c>
      <x:c r="B9" s="26" t="str">
        <x:v>Long argument, sources, methods</x:v>
      </x:c>
      <x:c r="C9" s="26" t="str">
        <x:v>the-ledger and essay state</x:v>
      </x:c>
      <x:c r="D9" s="26" t="str">
        <x:v>Warm paper, ink, restrained gold</x:v>
      </x:c>
      <x:c r="E9" s="26" t="str">
        <x:v>Deep legibility</x:v>
      </x:c>
      <x:c r="F9" s="26" t="str">
        <x:v>No visual fatigue or luxury minimalism</x:v>
      </x:c>
    </x:row>
    <x:row r="10" ht="52" customHeight="1">
      <x:c r="A10" s="26" t="str">
        <x:v>Extraction / Collection</x:v>
      </x:c>
      <x:c r="B10" s="26" t="str">
        <x:v>Custody, access, classification, loss</x:v>
      </x:c>
      <x:c r="C10" s="26" t="str">
        <x:v>custody, the-archive</x:v>
      </x:c>
      <x:c r="D10" s="26" t="str">
        <x:v>Clinical grey, bone, rust</x:v>
      </x:c>
      <x:c r="E10" s="26" t="str">
        <x:v>Severance made visible</x:v>
      </x:c>
      <x:c r="F10" s="26" t="str">
        <x:v>No spectacle or unsupported allegation</x:v>
      </x:c>
    </x:row>
    <x:row r="11" ht="52" customHeight="1">
      <x:c r="A11" s="27" t="str">
        <x:v>Reconnection</x:v>
      </x:c>
      <x:c r="B11" s="27" t="str">
        <x:v>Return, renewed access, living practice</x:v>
      </x:c>
      <x:c r="C11" s="27" t="str">
        <x:v>Future community-led work</x:v>
      </x:c>
      <x:c r="D11" s="27" t="str">
        <x:v>Living colours reopen</x:v>
      </x:c>
      <x:c r="E11" s="27" t="str">
        <x:v>Repair without false closure</x:v>
      </x:c>
      <x:c r="F11" s="27" t="str">
        <x:v>Digitization is not restitution</x:v>
      </x:c>
    </x:row>
  </x:sheetData>
  <x:mergeCells>
    <x:mergeCell ref="A1:F1"/>
    <x:mergeCell ref="A2:F2"/>
  </x:mergeCells>
  <x:pageMargins left="0.7" right="0.7" top="0.75" bottom="0.75" header="0.3" footer="0.3"/>
  <x:tableParts count="1">
    <x:tablePart xmlns:r="http://schemas.openxmlformats.org/officeDocument/2006/relationships" r:id="Rafe7476ee89742f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72" hidden="0" customWidth="1"/>
  </x:cols>
  <x:sheetData>
    <x:row r="1" ht="28" customHeight="1">
      <x:c r="A1" s="34" t="str">
        <x:v>Method and limitations</x:v>
      </x:c>
      <x:c r="B1" s="34"/>
      <x:c r="C1" s="34"/>
      <x:c r="D1" s="34"/>
      <x:c r="E1" s="34"/>
      <x:c r="F1" s="34"/>
    </x:row>
    <x:row r="2" ht="34" customHeight="1">
      <x:c r="A2" s="35" t="str">
        <x:v>This workbook is an editorial and source-risk triage, not a completed peer review of 96 historical arguments.</x:v>
      </x:c>
      <x:c r="B2" s="35"/>
      <x:c r="C2" s="35"/>
      <x:c r="D2" s="35"/>
      <x:c r="E2" s="35"/>
      <x:c r="F2" s="35"/>
    </x:row>
    <x:row r="3">
      <x:c r="A3" s="36"/>
      <x:c r="B3" s="36"/>
      <x:c r="C3" s="36"/>
      <x:c r="D3" s="36"/>
      <x:c r="E3" s="36"/>
      <x:c r="F3" s="36"/>
    </x:row>
    <x:row r="4">
      <x:c r="A4" s="37" t="str">
        <x:v>Layer</x:v>
      </x:c>
      <x:c r="B4" s="37" t="str">
        <x:v>Method</x:v>
      </x:c>
      <x:c r="C4" s="37" t="str">
        <x:v>Limit</x:v>
      </x:c>
      <x:c r="D4" s="36"/>
      <x:c r="E4" s="36"/>
      <x:c r="F4" s="36"/>
    </x:row>
    <x:row r="5" ht="56" customHeight="1">
      <x:c r="A5" s="26" t="str">
        <x:v>Baseline</x:v>
      </x:c>
      <x:c r="B5" s="26" t="str">
        <x:v>veli-site(3).zip, supplied 2026-09-01</x:v>
      </x:c>
      <x:c r="C5" s="26" t="str">
        <x:v>Frozen archive used for all page and link counts.</x:v>
      </x:c>
      <x:c r="D5" s="36"/>
      <x:c r="E5" s="36"/>
      <x:c r="F5" s="36"/>
    </x:row>
    <x:row r="6" ht="56" customHeight="1">
      <x:c r="A6" s="26" t="str">
        <x:v>Structural audit</x:v>
      </x:c>
      <x:c r="B6" s="26" t="str">
        <x:v>Parsed titles, H1s, descriptions, canonicals, local links, tables, SVGs and visible source sections.</x:v>
      </x:c>
      <x:c r="C6" s="26" t="str">
        <x:v>Script-heavy content may be undercounted as visible prose.</x:v>
      </x:c>
      <x:c r="D6" s="36"/>
      <x:c r="E6" s="36"/>
      <x:c r="F6" s="36"/>
    </x:row>
    <x:row r="7" ht="56" customHeight="1">
      <x:c r="A7" s="26" t="str">
        <x:v>Source visibility</x:v>
      </x:c>
      <x:c r="B7" s="26" t="str">
        <x:v>Estimated bibliography entries from visible Sources/References sections and counted live external links.</x:v>
      </x:c>
      <x:c r="C7" s="26" t="str">
        <x:v>A visible bibliography does not prove claim-level support or source quality.</x:v>
      </x:c>
      <x:c r="D7" s="36"/>
      <x:c r="E7" s="36"/>
      <x:c r="F7" s="36"/>
    </x:row>
    <x:row r="8" ht="56" customHeight="1">
      <x:c r="A8" s="26" t="str">
        <x:v>Claim risk</x:v>
      </x:c>
      <x:c r="B8" s="26" t="str">
        <x:v>Flagged categorical, causal, priority/origin, institutional and quantitative central claims.</x:v>
      </x:c>
      <x:c r="C8" s="26" t="str">
        <x:v>Risk means verification priority, not falsehood.</x:v>
      </x:c>
      <x:c r="D8" s="36"/>
      <x:c r="E8" s="36"/>
      <x:c r="F8" s="36"/>
    </x:row>
    <x:row r="9" ht="56" customHeight="1">
      <x:c r="A9" s="26" t="str">
        <x:v>Duplication</x:v>
      </x:c>
      <x:c r="B9" s="26" t="str">
        <x:v>TF-IDF similarity plus editorial cluster review.</x:v>
      </x:c>
      <x:c r="C9" s="26" t="str">
        <x:v>Shared vocabulary can inflate similarity; each proposed merge needs human review.</x:v>
      </x:c>
      <x:c r="D9" s="36"/>
      <x:c r="E9" s="36"/>
      <x:c r="F9" s="36"/>
    </x:row>
    <x:row r="10" ht="56" customHeight="1">
      <x:c r="A10" s="26" t="str">
        <x:v>Curatorial decision</x:v>
      </x:c>
      <x:c r="B10" s="26" t="str">
        <x:v>Keep, Revise, Hold, Split or Merge based on role, source visibility, risk and overlap.</x:v>
      </x:c>
      <x:c r="C10" s="26" t="str">
        <x:v>Decisions remain provisional until factual and specialist review.</x:v>
      </x:c>
      <x:c r="D10" s="36"/>
      <x:c r="E10" s="36"/>
      <x:c r="F10" s="36"/>
    </x:row>
    <x:row r="11" ht="56" customHeight="1">
      <x:c r="A11" s="27" t="str">
        <x:v>Not completed</x:v>
      </x:c>
      <x:c r="B11" s="27" t="str">
        <x:v>Full primary-source re-performance, legal opinion, community consultation, image-rights clearance and discipline-specific peer review.</x:v>
      </x:c>
      <x:c r="C11" s="27" t="str">
        <x:v>These are publication gates, not optional polish.</x:v>
      </x:c>
      <x:c r="D11" s="36"/>
      <x:c r="E11" s="36"/>
      <x:c r="F11" s="36"/>
    </x:row>
  </x:sheetData>
  <x:mergeCells>
    <x:mergeCell ref="A1:F1"/>
    <x:mergeCell ref="A2:F2"/>
  </x:mergeCells>
  <x:pageMargins left="0.7" right="0.7" top="0.75" bottom="0.75" header="0.3" footer="0.3"/>
  <x:tableParts count="1">
    <x:tablePart xmlns:r="http://schemas.openxmlformats.org/officeDocument/2006/relationships" r:id="R8ed06612aa6d414d"/>
  </x:tableParts>
</x:worksheet>
</file>